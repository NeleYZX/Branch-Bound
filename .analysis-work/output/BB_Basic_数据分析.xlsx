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23532606d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总览" sheetId="1" r:id="R5ce69369679c42b9"/>
    <x:sheet xmlns:r="http://schemas.openxmlformats.org/officeDocument/2006/relationships" name="结果明细" sheetId="2" r:id="Rbe419d3f9eba4142"/>
    <x:sheet xmlns:r="http://schemas.openxmlformats.org/officeDocument/2006/relationships" name="原始数据" sheetId="3" r:id="R66de7337f24c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%"/>
    <x:numFmt numFmtId="202" formatCode="0.0%"/>
    <x:numFmt numFmtId="203" formatCode="0.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43E6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B4800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815dacd114500" /><Relationship Type="http://schemas.openxmlformats.org/officeDocument/2006/relationships/theme" Target="/xl/theme/theme1.xml" Id="R8b3bc65187aa4277" /><Relationship Type="http://schemas.openxmlformats.org/officeDocument/2006/relationships/sharedStrings" Target="/xl/sharedStrings.xml" Id="Rbb903a4153224a4b" /><Relationship Type="http://schemas.openxmlformats.org/officeDocument/2006/relationships/worksheet" Target="/xl/worksheets/sheet1.xml" Id="R5ce69369679c42b9" /><Relationship Type="http://schemas.openxmlformats.org/officeDocument/2006/relationships/worksheet" Target="/xl/worksheets/sheet2.xml" Id="Rbe419d3f9eba4142" /><Relationship Type="http://schemas.openxmlformats.org/officeDocument/2006/relationships/worksheet" Target="/xl/worksheets/sheet3.xml" Id="R66de7337f24c43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bb34fe0b2942c2" /><Relationship Type="http://schemas.openxmlformats.org/officeDocument/2006/relationships/chart" Target="/xl/drawings/charts/chart2.xml" Id="R6234c3851c29479a" /><Relationship Type="http://schemas.openxmlformats.org/officeDocument/2006/relationships/chart" Target="/xl/drawings/charts/chart3.xml" Id="R6e6c7b0ceded402d" /><Relationship Type="http://schemas.openxmlformats.org/officeDocument/2006/relationships/chart" Target="/xl/drawings/charts/chart4.xml" Id="R5c736ec8fcde4e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不同 TF/RDD 的搜索耗时（秒）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0.3 / 0.3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'分析总览'!$E$11:$E$22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0.3 / 0.6</c:v>
          </c:tx>
          <c:spPr>
            <a:solidFill xmlns:a="http://schemas.openxmlformats.org/drawingml/2006/main">
              <a:srgbClr val="E58A24"/>
            </a:solidFill>
            <a:ln xmlns:a="http://schemas.openxmlformats.org/drawingml/2006/main" w="19050">
              <a:solidFill>
                <a:srgbClr val="E58A24"/>
              </a:solidFill>
              <a:prstDash val="solid"/>
            </a:ln>
          </c:spPr>
          <c:marker>
            <c:symbol val="none"/>
          </c:marker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'分析总览'!$F$11:$F$22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0.6 / 0.3</c:v>
          </c:tx>
          <c:spPr>
            <a:solidFill xmlns:a="http://schemas.openxmlformats.org/drawingml/2006/main">
              <a:srgbClr val="169B82"/>
            </a:solidFill>
            <a:ln xmlns:a="http://schemas.openxmlformats.org/drawingml/2006/main" w="19050">
              <a:solidFill>
                <a:srgbClr val="169B82"/>
              </a:solidFill>
              <a:prstDash val="solid"/>
            </a:ln>
          </c:spPr>
          <c:marker>
            <c:symbol val="none"/>
          </c:marker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'分析总览'!$G$11:$G$22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0.6 / 0.6</c:v>
          </c:tx>
          <c:spPr>
            <a:solidFill xmlns:a="http://schemas.openxmlformats.org/drawingml/2006/main">
              <a:srgbClr val="9B59B6"/>
            </a:solidFill>
            <a:ln xmlns:a="http://schemas.openxmlformats.org/drawingml/2006/main" w="19050">
              <a:solidFill>
                <a:srgbClr val="9B59B6"/>
              </a:solidFill>
              <a:prstDash val="solid"/>
            </a:ln>
          </c:spPr>
          <c:marker>
            <c:symbol val="none"/>
          </c:marker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'分析总览'!$H$11:$H$22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各规模最优求解率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最优求解率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'分析总览'!$C$11:$C$22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参数组合平均搜索耗时（秒）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平均耗时（秒）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'分析总览'!$A$26:$A$29</c:f>
              <c:strCache>
                <c:ptCount val="0"/>
              </c:strCache>
            </c:strRef>
          </c:cat>
          <c:val>
            <c:numRef>
              <c:f>'分析总览'!$B$26:$B$29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各规模平均 gap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平均gap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'分析总览'!$A$11:$A$22</c:f>
              <c:strCache>
                <c:ptCount val="0"/>
              </c:strCache>
            </c:strRef>
          </c:cat>
          <c:val>
            <c:numRef>
              <c:f>'分析总览'!$D$11:$D$22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bb34fe0b2942c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34c3851c29479a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6c7b0ceded402d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19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736ec8fcde4e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lts" displayName="Results" ref="A1:L49" headerRowCount="1" totalsRowCount="0" totalsRowShown="0">
  <x:tableColumns count="12">
    <x:tableColumn id="1" name="序号"/>
    <x:tableColumn id="2" name="零件数量"/>
    <x:tableColumn id="3" name="TF"/>
    <x:tableColumn id="4" name="RDD"/>
    <x:tableColumn id="5" name="最优解"/>
    <x:tableColumn id="6" name="runtime（秒）"/>
    <x:tableColumn id="7" name="gap值"/>
    <x:tableColumn id="8" name="求解状态"/>
    <x:tableColumn id="9" name="当前最好可行解"/>
    <x:tableColumn id="10" name="下界"/>
    <x:tableColumn id="11" name="调用总耗时（秒）"/>
    <x:tableColumn id="12" name="实例标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ata" displayName="SourceData" ref="A1:T49" headerRowCount="1" totalsRowCount="0" totalsRowShown="0">
  <x:tableColumns count="20">
    <x:tableColumn id="1" name="instance_id"/>
    <x:tableColumn id="2" name="n_parts"/>
    <x:tableColumn id="3" name="alpha_ser"/>
    <x:tableColumn id="4" name="alpha_pos"/>
    <x:tableColumn id="5" name="solve_status"/>
    <x:tableColumn id="6" name="time_limit_seconds"/>
    <x:tableColumn id="7" name="optimal_time_seconds"/>
    <x:tableColumn id="8" name="search_time_seconds"/>
    <x:tableColumn id="9" name="solver_call_seconds"/>
    <x:tableColumn id="10" name="final_UB"/>
    <x:tableColumn id="11" name="final_LB"/>
    <x:tableColumn id="12" name="MIP_gap"/>
    <x:tableColumn id="13" name="MIP_gap_percent"/>
    <x:tableColumn id="14" name="total_nodes"/>
    <x:tableColumn id="15" name="serial_dp_trigger_count"/>
    <x:tableColumn id="16" name="serial_pruning_count"/>
    <x:tableColumn id="17" name="solver_version"/>
    <x:tableColumn id="18" name="timing_version"/>
    <x:tableColumn id="19" name="input_file"/>
    <x:tableColumn id="20" name="source_lo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8d44ca326c43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106526f264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0d7dd3ad248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6" t="str">
        <x:v>BB Basic 实验分析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3" t="str">
        <x:v>实例数</x:v>
      </x:c>
      <x:c r="B4" s="3" t="str">
        <x:v>已证明最优</x:v>
      </x:c>
      <x:c r="C4" s="3" t="str">
        <x:v>超时</x:v>
      </x:c>
      <x:c r="D4" s="3" t="str">
        <x:v>最优求解率</x:v>
      </x:c>
      <x:c r="E4" s="3" t="str">
        <x:v>时间上限（秒）</x:v>
      </x:c>
      <x:c r="F4" s="3" t="str">
        <x:v>规模范围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3" customHeight="1">
      <x:c r="A5" s="1" t="n">
        <x:v>48</x:v>
      </x:c>
      <x:c r="B5" s="1" t="n">
        <x:v>42</x:v>
      </x:c>
      <x:c r="C5" s="1" t="n">
        <x:v>6</x:v>
      </x:c>
      <x:c r="D5" s="7" t="n">
        <x:v>0.875</x:v>
      </x:c>
      <x:c r="E5" s="1" t="n">
        <x:v>3600</x:v>
      </x:c>
      <x:c r="F5" s="1" t="str">
        <x:v>10–21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3" customHeight="1">
      <x:c r="A7" s="1" t="str">
        <x:v>runtime 为搜索耗时；超时记录最优解留空，当前最好可行解另列。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3" customHeight="1">
      <x:c r="A8" s="1" t="str">
        <x:v>每个参数组合仅1例；耗时均值包含超时记录，不代表完成求解所需时间。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3" customHeight="1">
      <x:c r="A10" s="3" t="str">
        <x:v>零件数量</x:v>
      </x:c>
      <x:c r="B10" s="3" t="str">
        <x:v>平均耗时（秒）</x:v>
      </x:c>
      <x:c r="C10" s="3" t="str">
        <x:v>最优求解率</x:v>
      </x:c>
      <x:c r="D10" s="3" t="str">
        <x:v>平均gap</x:v>
      </x:c>
      <x:c r="E10" s="3" t="str">
        <x:v>0.3 / 0.3</x:v>
      </x:c>
      <x:c r="F10" s="3" t="str">
        <x:v>0.3 / 0.6</x:v>
      </x:c>
      <x:c r="G10" s="3" t="str">
        <x:v>0.6 / 0.3</x:v>
      </x:c>
      <x:c r="H10" s="3" t="str">
        <x:v>0.6 / 0.6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3" customHeight="1">
      <x:c r="A11" s="1" t="n">
        <x:v>10</x:v>
      </x:c>
      <x:c r="B11" s="8" t="n">
        <x:f>AVERAGEIF('结果明细'!B$2:B$49,A11,'结果明细'!F$2:F$49)</x:f>
        <x:v>0.12465215</x:v>
      </x:c>
      <x:c r="C11" s="5" t="n">
        <x:f>COUNTIFS('结果明细'!B$2:B$49,A11,'结果明细'!H$2:H$49,"OPTIMAL")/COUNTIF('结果明细'!B$2:B$49,A11)</x:f>
        <x:v>1</x:v>
      </x:c>
      <x:c r="D11" s="5" t="n">
        <x:f>AVERAGEIF('结果明细'!B$2:B$49,A11,'结果明细'!G$2:G$49)</x:f>
        <x:v>0</x:v>
      </x:c>
      <x:c r="E11" s="8" t="n">
        <x:f>'结果明细'!F2</x:f>
        <x:v>0.1307768</x:v>
      </x:c>
      <x:c r="F11" s="8" t="n">
        <x:f>'结果明细'!F3</x:f>
        <x:v>0.1222711</x:v>
      </x:c>
      <x:c r="G11" s="8" t="n">
        <x:f>'结果明细'!F4</x:f>
        <x:v>0.1232385</x:v>
      </x:c>
      <x:c r="H11" s="8" t="n">
        <x:f>'结果明细'!F5</x:f>
        <x:v>0.1223222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3" customHeight="1">
      <x:c r="A12" s="1" t="n">
        <x:v>11</x:v>
      </x:c>
      <x:c r="B12" s="8" t="n">
        <x:f>AVERAGEIF('结果明细'!B$2:B$49,A12,'结果明细'!F$2:F$49)</x:f>
        <x:v>0.378009925</x:v>
      </x:c>
      <x:c r="C12" s="5" t="n">
        <x:f>COUNTIFS('结果明细'!B$2:B$49,A12,'结果明细'!H$2:H$49,"OPTIMAL")/COUNTIF('结果明细'!B$2:B$49,A12)</x:f>
        <x:v>1</x:v>
      </x:c>
      <x:c r="D12" s="5" t="n">
        <x:f>AVERAGEIF('结果明细'!B$2:B$49,A12,'结果明细'!G$2:G$49)</x:f>
        <x:v>0</x:v>
      </x:c>
      <x:c r="E12" s="8" t="n">
        <x:f>'结果明细'!F6</x:f>
        <x:v>0.3954296</x:v>
      </x:c>
      <x:c r="F12" s="8" t="n">
        <x:f>'结果明细'!F7</x:f>
        <x:v>0.2358926</x:v>
      </x:c>
      <x:c r="G12" s="8" t="n">
        <x:f>'结果明细'!F8</x:f>
        <x:v>0.4369833</x:v>
      </x:c>
      <x:c r="H12" s="8" t="n">
        <x:f>'结果明细'!F9</x:f>
        <x:v>0.4437342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3" customHeight="1">
      <x:c r="A13" s="1" t="n">
        <x:v>12</x:v>
      </x:c>
      <x:c r="B13" s="8" t="n">
        <x:f>AVERAGEIF('结果明细'!B$2:B$49,A13,'结果明细'!F$2:F$49)</x:f>
        <x:v>0.6715392</x:v>
      </x:c>
      <x:c r="C13" s="5" t="n">
        <x:f>COUNTIFS('结果明细'!B$2:B$49,A13,'结果明细'!H$2:H$49,"OPTIMAL")/COUNTIF('结果明细'!B$2:B$49,A13)</x:f>
        <x:v>1</x:v>
      </x:c>
      <x:c r="D13" s="5" t="n">
        <x:f>AVERAGEIF('结果明细'!B$2:B$49,A13,'结果明细'!G$2:G$49)</x:f>
        <x:v>0</x:v>
      </x:c>
      <x:c r="E13" s="8" t="n">
        <x:f>'结果明细'!F10</x:f>
        <x:v>0.7146414</x:v>
      </x:c>
      <x:c r="F13" s="8" t="n">
        <x:f>'结果明细'!F11</x:f>
        <x:v>0.4613343</x:v>
      </x:c>
      <x:c r="G13" s="8" t="n">
        <x:f>'结果明细'!F12</x:f>
        <x:v>0.7265061</x:v>
      </x:c>
      <x:c r="H13" s="8" t="n">
        <x:f>'结果明细'!F13</x:f>
        <x:v>0.783675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3" customHeight="1">
      <x:c r="A14" s="1" t="n">
        <x:v>13</x:v>
      </x:c>
      <x:c r="B14" s="8" t="n">
        <x:f>AVERAGEIF('结果明细'!B$2:B$49,A14,'结果明细'!F$2:F$49)</x:f>
        <x:v>2.0728383</x:v>
      </x:c>
      <x:c r="C14" s="5" t="n">
        <x:f>COUNTIFS('结果明细'!B$2:B$49,A14,'结果明细'!H$2:H$49,"OPTIMAL")/COUNTIF('结果明细'!B$2:B$49,A14)</x:f>
        <x:v>1</x:v>
      </x:c>
      <x:c r="D14" s="5" t="n">
        <x:f>AVERAGEIF('结果明细'!B$2:B$49,A14,'结果明细'!G$2:G$49)</x:f>
        <x:v>0</x:v>
      </x:c>
      <x:c r="E14" s="8" t="n">
        <x:f>'结果明细'!F14</x:f>
        <x:v>2.2829728</x:v>
      </x:c>
      <x:c r="F14" s="8" t="n">
        <x:f>'结果明细'!F15</x:f>
        <x:v>1.5784188</x:v>
      </x:c>
      <x:c r="G14" s="8" t="n">
        <x:f>'结果明细'!F16</x:f>
        <x:v>2.0723021</x:v>
      </x:c>
      <x:c r="H14" s="8" t="n">
        <x:f>'结果明细'!F17</x:f>
        <x:v>2.3576595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3" customHeight="1">
      <x:c r="A15" s="1" t="n">
        <x:v>14</x:v>
      </x:c>
      <x:c r="B15" s="8" t="n">
        <x:f>AVERAGEIF('结果明细'!B$2:B$49,A15,'结果明细'!F$2:F$49)</x:f>
        <x:v>6.423415050000001</x:v>
      </x:c>
      <x:c r="C15" s="5" t="n">
        <x:f>COUNTIFS('结果明细'!B$2:B$49,A15,'结果明细'!H$2:H$49,"OPTIMAL")/COUNTIF('结果明细'!B$2:B$49,A15)</x:f>
        <x:v>1</x:v>
      </x:c>
      <x:c r="D15" s="5" t="n">
        <x:f>AVERAGEIF('结果明细'!B$2:B$49,A15,'结果明细'!G$2:G$49)</x:f>
        <x:v>0</x:v>
      </x:c>
      <x:c r="E15" s="8" t="n">
        <x:f>'结果明细'!F18</x:f>
        <x:v>10.6501864</x:v>
      </x:c>
      <x:c r="F15" s="8" t="n">
        <x:f>'结果明细'!F19</x:f>
        <x:v>4.9009587</x:v>
      </x:c>
      <x:c r="G15" s="8" t="n">
        <x:f>'结果明细'!F20</x:f>
        <x:v>4.8548205</x:v>
      </x:c>
      <x:c r="H15" s="8" t="n">
        <x:f>'结果明细'!F21</x:f>
        <x:v>5.2876946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3" customHeight="1">
      <x:c r="A16" s="1" t="n">
        <x:v>15</x:v>
      </x:c>
      <x:c r="B16" s="8" t="n">
        <x:f>AVERAGEIF('结果明细'!B$2:B$49,A16,'结果明细'!F$2:F$49)</x:f>
        <x:v>20.8268835</x:v>
      </x:c>
      <x:c r="C16" s="5" t="n">
        <x:f>COUNTIFS('结果明细'!B$2:B$49,A16,'结果明细'!H$2:H$49,"OPTIMAL")/COUNTIF('结果明细'!B$2:B$49,A16)</x:f>
        <x:v>1</x:v>
      </x:c>
      <x:c r="D16" s="5" t="n">
        <x:f>AVERAGEIF('结果明细'!B$2:B$49,A16,'结果明细'!G$2:G$49)</x:f>
        <x:v>0</x:v>
      </x:c>
      <x:c r="E16" s="8" t="n">
        <x:f>'结果明细'!F22</x:f>
        <x:v>46.96398</x:v>
      </x:c>
      <x:c r="F16" s="8" t="n">
        <x:f>'结果明细'!F23</x:f>
        <x:v>21.8570798</x:v>
      </x:c>
      <x:c r="G16" s="8" t="n">
        <x:f>'结果明细'!F24</x:f>
        <x:v>7.216066</x:v>
      </x:c>
      <x:c r="H16" s="8" t="n">
        <x:f>'结果明细'!F25</x:f>
        <x:v>7.2704082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3" customHeight="1">
      <x:c r="A17" s="1" t="n">
        <x:v>16</x:v>
      </x:c>
      <x:c r="B17" s="8" t="n">
        <x:f>AVERAGEIF('结果明细'!B$2:B$49,A17,'结果明细'!F$2:F$49)</x:f>
        <x:v>51.988047675000004</x:v>
      </x:c>
      <x:c r="C17" s="5" t="n">
        <x:f>COUNTIFS('结果明细'!B$2:B$49,A17,'结果明细'!H$2:H$49,"OPTIMAL")/COUNTIF('结果明细'!B$2:B$49,A17)</x:f>
        <x:v>1</x:v>
      </x:c>
      <x:c r="D17" s="5" t="n">
        <x:f>AVERAGEIF('结果明细'!B$2:B$49,A17,'结果明细'!G$2:G$49)</x:f>
        <x:v>0</x:v>
      </x:c>
      <x:c r="E17" s="8" t="n">
        <x:f>'结果明细'!F26</x:f>
        <x:v>103.6796436</x:v>
      </x:c>
      <x:c r="F17" s="8" t="n">
        <x:f>'结果明细'!F27</x:f>
        <x:v>56.1574394</x:v>
      </x:c>
      <x:c r="G17" s="8" t="n">
        <x:f>'结果明细'!F28</x:f>
        <x:v>19.4426677</x:v>
      </x:c>
      <x:c r="H17" s="8" t="n">
        <x:f>'结果明细'!F29</x:f>
        <x:v>28.67244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 t="n">
        <x:v>17</x:v>
      </x:c>
      <x:c r="B18" s="8" t="n">
        <x:f>AVERAGEIF('结果明细'!B$2:B$49,A18,'结果明细'!F$2:F$49)</x:f>
        <x:v>141.99336075</x:v>
      </x:c>
      <x:c r="C18" s="5" t="n">
        <x:f>COUNTIFS('结果明细'!B$2:B$49,A18,'结果明细'!H$2:H$49,"OPTIMAL")/COUNTIF('结果明细'!B$2:B$49,A18)</x:f>
        <x:v>1</x:v>
      </x:c>
      <x:c r="D18" s="5" t="n">
        <x:f>AVERAGEIF('结果明细'!B$2:B$49,A18,'结果明细'!G$2:G$49)</x:f>
        <x:v>0</x:v>
      </x:c>
      <x:c r="E18" s="8" t="n">
        <x:f>'结果明细'!F30</x:f>
        <x:v>286.4397153</x:v>
      </x:c>
      <x:c r="F18" s="8" t="n">
        <x:f>'结果明细'!F31</x:f>
        <x:v>143.9853876</x:v>
      </x:c>
      <x:c r="G18" s="8" t="n">
        <x:f>'结果明细'!F32</x:f>
        <x:v>56.4838081</x:v>
      </x:c>
      <x:c r="H18" s="8" t="n">
        <x:f>'结果明细'!F33</x:f>
        <x:v>81.064532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 t="n">
        <x:v>18</x:v>
      </x:c>
      <x:c r="B19" s="8" t="n">
        <x:f>AVERAGEIF('结果明细'!B$2:B$49,A19,'结果明细'!F$2:F$49)</x:f>
        <x:v>474.87483027499997</x:v>
      </x:c>
      <x:c r="C19" s="5" t="n">
        <x:f>COUNTIFS('结果明细'!B$2:B$49,A19,'结果明细'!H$2:H$49,"OPTIMAL")/COUNTIF('结果明细'!B$2:B$49,A19)</x:f>
        <x:v>1</x:v>
      </x:c>
      <x:c r="D19" s="5" t="n">
        <x:f>AVERAGEIF('结果明细'!B$2:B$49,A19,'结果明细'!G$2:G$49)</x:f>
        <x:v>0</x:v>
      </x:c>
      <x:c r="E19" s="8" t="n">
        <x:f>'结果明细'!F34</x:f>
        <x:v>1322.5463045</x:v>
      </x:c>
      <x:c r="F19" s="8" t="n">
        <x:f>'结果明细'!F35</x:f>
        <x:v>216.3423383</x:v>
      </x:c>
      <x:c r="G19" s="8" t="n">
        <x:f>'结果明细'!F36</x:f>
        <x:v>182.715043</x:v>
      </x:c>
      <x:c r="H19" s="8" t="n">
        <x:f>'结果明细'!F37</x:f>
        <x:v>177.8956353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 t="n">
        <x:v>19</x:v>
      </x:c>
      <x:c r="B20" s="8" t="n">
        <x:f>AVERAGEIF('结果明细'!B$2:B$49,A20,'结果明细'!F$2:F$49)</x:f>
        <x:v>527.6244866</x:v>
      </x:c>
      <x:c r="C20" s="5" t="n">
        <x:f>COUNTIFS('结果明细'!B$2:B$49,A20,'结果明细'!H$2:H$49,"OPTIMAL")/COUNTIF('结果明细'!B$2:B$49,A20)</x:f>
        <x:v>1</x:v>
      </x:c>
      <x:c r="D20" s="5" t="n">
        <x:f>AVERAGEIF('结果明细'!B$2:B$49,A20,'结果明细'!G$2:G$49)</x:f>
        <x:v>0</x:v>
      </x:c>
      <x:c r="E20" s="8" t="n">
        <x:f>'结果明细'!F38</x:f>
        <x:v>830.6004666</x:v>
      </x:c>
      <x:c r="F20" s="8" t="n">
        <x:f>'结果明细'!F39</x:f>
        <x:v>451.3058704</x:v>
      </x:c>
      <x:c r="G20" s="8" t="n">
        <x:f>'结果明细'!F40</x:f>
        <x:v>355.7542873</x:v>
      </x:c>
      <x:c r="H20" s="8" t="n">
        <x:f>'结果明细'!F41</x:f>
        <x:v>472.8373221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n">
        <x:v>20</x:v>
      </x:c>
      <x:c r="B21" s="8" t="n">
        <x:f>AVERAGEIF('结果明细'!B$2:B$49,A21,'结果明细'!F$2:F$49)</x:f>
        <x:v>2912.3484068000002</x:v>
      </x:c>
      <x:c r="C21" s="5" t="n">
        <x:f>COUNTIFS('结果明细'!B$2:B$49,A21,'结果明细'!H$2:H$49,"OPTIMAL")/COUNTIF('结果明细'!B$2:B$49,A21)</x:f>
        <x:v>0.5</x:v>
      </x:c>
      <x:c r="D21" s="5" t="n">
        <x:f>AVERAGEIF('结果明细'!B$2:B$49,A21,'结果明细'!G$2:G$49)</x:f>
        <x:v>0.4836746826811721</x:v>
      </x:c>
      <x:c r="E21" s="8" t="n">
        <x:f>'结果明细'!F42</x:f>
        <x:v>3600.0002994</x:v>
      </x:c>
      <x:c r="F21" s="8" t="n">
        <x:f>'结果明细'!F43</x:f>
        <x:v>3600.0000085</x:v>
      </x:c>
      <x:c r="G21" s="8" t="n">
        <x:f>'结果明细'!F44</x:f>
        <x:v>2931.5486761</x:v>
      </x:c>
      <x:c r="H21" s="8" t="n">
        <x:f>'结果明细'!F45</x:f>
        <x:v>1517.8446432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1" t="n">
        <x:v>21</x:v>
      </x:c>
      <x:c r="B22" s="8" t="n">
        <x:f>AVERAGEIF('结果明细'!B$2:B$49,A22,'结果明细'!F$2:F$49)</x:f>
        <x:v>3600.00005815</x:v>
      </x:c>
      <x:c r="C22" s="5" t="n">
        <x:f>COUNTIFS('结果明细'!B$2:B$49,A22,'结果明细'!H$2:H$49,"OPTIMAL")/COUNTIF('结果明细'!B$2:B$49,A22)</x:f>
        <x:v>0</x:v>
      </x:c>
      <x:c r="D22" s="5" t="n">
        <x:f>AVERAGEIF('结果明细'!B$2:B$49,A22,'结果明细'!G$2:G$49)</x:f>
        <x:v>0.8813978291844361</x:v>
      </x:c>
      <x:c r="E22" s="8" t="n">
        <x:f>'结果明细'!F46</x:f>
        <x:v>3600.0000066</x:v>
      </x:c>
      <x:c r="F22" s="8" t="n">
        <x:f>'结果明细'!F47</x:f>
        <x:v>3600.00001</x:v>
      </x:c>
      <x:c r="G22" s="8" t="n">
        <x:f>'结果明细'!F48</x:f>
        <x:v>3600.0001344</x:v>
      </x:c>
      <x:c r="H22" s="8" t="n">
        <x:f>'结果明细'!F49</x:f>
        <x:v>3600.0000816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3" t="str">
        <x:v>TF / RDD</x:v>
      </x:c>
      <x:c r="B25" s="3" t="str">
        <x:v>平均耗时（秒）</x:v>
      </x:c>
      <x:c r="C25" s="3" t="str">
        <x:v>最优求解率</x:v>
      </x:c>
      <x:c r="D25" s="3" t="str">
        <x:v>平均gap</x:v>
      </x:c>
      <x:c r="E25" s="3" t="str">
        <x:v>超时数量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str">
        <x:v>0.3 / 0.3</x:v>
      </x:c>
      <x:c r="B26" s="8" t="n">
        <x:f>AVERAGEIFS('结果明细'!F$2:F$49,'结果明细'!C$2:C$49,0.3,'结果明细'!D$2:D$49,0.3)</x:f>
        <x:v>817.0337019166667</x:v>
      </x:c>
      <x:c r="C26" s="5" t="n">
        <x:f>COUNTIFS('结果明细'!C$2:C$49,0.3,'结果明细'!D$2:D$49,0.3,'结果明细'!H$2:H$49,"OPTIMAL")/12</x:f>
        <x:v>0.8333333333333334</x:v>
      </x:c>
      <x:c r="D26" s="5" t="n">
        <x:f>AVERAGEIFS('结果明细'!G$2:G$49,'结果明细'!C$2:C$49,0.3,'结果明细'!D$2:D$49,0.3)</x:f>
        <x:v>0.158584864461617</x:v>
      </x:c>
      <x:c r="E26" s="1" t="n">
        <x:f>12*(1-C26)</x:f>
        <x:v>1.9999999999999996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 t="str">
        <x:v>0.3 / 0.6</x:v>
      </x:c>
      <x:c r="B27" s="8" t="n">
        <x:f>AVERAGEIFS('结果明细'!F$2:F$49,'结果明细'!C$2:C$49,0.3,'结果明细'!D$2:D$49,0.6)</x:f>
        <x:v>674.7455841249999</x:v>
      </x:c>
      <x:c r="C27" s="5" t="n">
        <x:f>COUNTIFS('结果明细'!C$2:C$49,0.3,'结果明细'!D$2:D$49,0.6,'结果明细'!H$2:H$49,"OPTIMAL")/12</x:f>
        <x:v>0.8333333333333334</x:v>
      </x:c>
      <x:c r="D27" s="5" t="n">
        <x:f>AVERAGEIFS('结果明细'!G$2:G$49,'结果明细'!C$2:C$49,0.3,'结果明细'!D$2:D$49,0.6)</x:f>
        <x:v>0.16666666666666666</x:v>
      </x:c>
      <x:c r="E27" s="1" t="n">
        <x:f>12*(1-C27)</x:f>
        <x:v>1.9999999999999996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 t="str">
        <x:v>0.6 / 0.3</x:v>
      </x:c>
      <x:c r="B28" s="8" t="n">
        <x:f>AVERAGEIFS('结果明细'!F$2:F$49,'结果明细'!C$2:C$49,0.6,'结果明细'!D$2:D$49,0.3)</x:f>
        <x:v>596.7812110916667</x:v>
      </x:c>
      <x:c r="C28" s="5" t="n">
        <x:f>COUNTIFS('结果明细'!C$2:C$49,0.6,'结果明细'!D$2:D$49,0.3,'结果明细'!H$2:H$49,"OPTIMAL")/12</x:f>
        <x:v>0.9166666666666666</x:v>
      </x:c>
      <x:c r="D28" s="5" t="n">
        <x:f>AVERAGEIFS('结果明细'!G$2:G$49,'结果明细'!C$2:C$49,0.6,'结果明细'!D$2:D$49,0.3)</x:f>
        <x:v>0.06218003823374221</x:v>
      </x:c>
      <x:c r="E28" s="1" t="n">
        <x:f>12*(1-C28)</x:f>
        <x:v>1.0000000000000004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 t="str">
        <x:v>0.6 / 0.6</x:v>
      </x:c>
      <x:c r="B29" s="8" t="n">
        <x:f>AVERAGEIFS('结果明细'!F$2:F$49,'结果明细'!C$2:C$49,0.6,'结果明细'!D$2:D$49,0.6)</x:f>
        <x:v>491.21501232500003</x:v>
      </x:c>
      <x:c r="C29" s="5" t="n">
        <x:f>COUNTIFS('结果明细'!C$2:C$49,0.6,'结果明细'!D$2:D$49,0.6,'结果明细'!H$2:H$49,"OPTIMAL")/12</x:f>
        <x:v>0.9166666666666666</x:v>
      </x:c>
      <x:c r="D29" s="5" t="n">
        <x:f>AVERAGEIFS('结果明细'!G$2:G$49,'结果明细'!C$2:C$49,0.6,'结果明细'!D$2:D$49,0.6)</x:f>
        <x:v>0.06759260125984352</x:v>
      </x:c>
      <x:c r="E29" s="1" t="n">
        <x:f>12*(1-C29)</x:f>
        <x:v>1.0000000000000004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 t="str">
        <x:v>结论：10–19件全部证明最优；20件最优求解率50%，21件全部超时。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 t="str">
        <x:v>来源：Journal article/BB_Basic/basci.csv；完整字段保留在“原始数据”。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 t="str">
        <x:v>gap 使用原始 MIP_gap 比例；最优解仅采用 OPTIMAL 的 final_UB。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</x:sheetData>
  <x:pageMargins left="0.7" right="0.7" top="0.75" bottom="0.75" header="0.3" footer="0.3"/>
  <x:drawing xmlns:r="http://schemas.openxmlformats.org/officeDocument/2006/relationships" r:id="R3a8d44ca326c435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3" customHeight="1">
      <x:c r="A1" s="3" t="str">
        <x:v>序号</x:v>
      </x:c>
      <x:c r="B1" s="3" t="str">
        <x:v>零件数量</x:v>
      </x:c>
      <x:c r="C1" s="3" t="str">
        <x:v>TF</x:v>
      </x:c>
      <x:c r="D1" s="3" t="str">
        <x:v>RDD</x:v>
      </x:c>
      <x:c r="E1" s="3" t="str">
        <x:v>最优解</x:v>
      </x:c>
      <x:c r="F1" s="3" t="str">
        <x:v>runtime（秒）</x:v>
      </x:c>
      <x:c r="G1" s="3" t="str">
        <x:v>gap值</x:v>
      </x:c>
      <x:c r="H1" s="3" t="str">
        <x:v>求解状态</x:v>
      </x:c>
      <x:c r="I1" s="3" t="str">
        <x:v>当前最好可行解</x:v>
      </x:c>
      <x:c r="J1" s="3" t="str">
        <x:v>下界</x:v>
      </x:c>
      <x:c r="K1" s="3" t="str">
        <x:v>调用总耗时（秒）</x:v>
      </x:c>
      <x:c r="L1" s="3" t="str">
        <x:v>实例标识</x:v>
      </x:c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1" t="n">
        <x:v>1</x:v>
      </x:c>
      <x:c r="B2" s="1" t="n">
        <x:v>10</x:v>
      </x:c>
      <x:c r="C2" s="1" t="n">
        <x:v>0.3</x:v>
      </x:c>
      <x:c r="D2" s="1" t="n">
        <x:v>0.3</x:v>
      </x:c>
      <x:c r="E2" s="4" t="n">
        <x:v>29.206777600000002</x:v>
      </x:c>
      <x:c r="F2" s="4" t="n">
        <x:v>0.1307768</x:v>
      </x:c>
      <x:c r="G2" s="5" t="n">
        <x:v>0</x:v>
      </x:c>
      <x:c r="H2" s="1" t="str">
        <x:v>OPTIMAL</x:v>
      </x:c>
      <x:c r="I2" s="4" t="n">
        <x:v>29.206777600000002</x:v>
      </x:c>
      <x:c r="J2" s="4" t="n">
        <x:v>29.206777600000002</x:v>
      </x:c>
      <x:c r="K2" s="4" t="n">
        <x:v>0.1330896</x:v>
      </x:c>
      <x:c r="L2" s="1" t="str">
        <x:v>10part_TF=0.3_RDD=0.3</x:v>
      </x:c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1" t="n">
        <x:v>2</x:v>
      </x:c>
      <x:c r="B3" s="1" t="n">
        <x:v>10</x:v>
      </x:c>
      <x:c r="C3" s="1" t="n">
        <x:v>0.3</x:v>
      </x:c>
      <x:c r="D3" s="1" t="n">
        <x:v>0.6</x:v>
      </x:c>
      <x:c r="E3" s="4" t="n">
        <x:v>37.5009504</x:v>
      </x:c>
      <x:c r="F3" s="4" t="n">
        <x:v>0.1222711</x:v>
      </x:c>
      <x:c r="G3" s="5" t="n">
        <x:v>0</x:v>
      </x:c>
      <x:c r="H3" s="1" t="str">
        <x:v>OPTIMAL</x:v>
      </x:c>
      <x:c r="I3" s="4" t="n">
        <x:v>37.5009504</x:v>
      </x:c>
      <x:c r="J3" s="4" t="n">
        <x:v>37.5009504</x:v>
      </x:c>
      <x:c r="K3" s="4" t="n">
        <x:v>0.1258305</x:v>
      </x:c>
      <x:c r="L3" s="1" t="str">
        <x:v>10part_TF=0.3_RDD=0.6</x:v>
      </x:c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 t="n">
        <x:v>3</x:v>
      </x:c>
      <x:c r="B4" s="1" t="n">
        <x:v>10</x:v>
      </x:c>
      <x:c r="C4" s="1" t="n">
        <x:v>0.6</x:v>
      </x:c>
      <x:c r="D4" s="1" t="n">
        <x:v>0.3</x:v>
      </x:c>
      <x:c r="E4" s="4" t="n">
        <x:v>108.79186559999998</x:v>
      </x:c>
      <x:c r="F4" s="4" t="n">
        <x:v>0.1232385</x:v>
      </x:c>
      <x:c r="G4" s="5" t="n">
        <x:v>0</x:v>
      </x:c>
      <x:c r="H4" s="1" t="str">
        <x:v>OPTIMAL</x:v>
      </x:c>
      <x:c r="I4" s="4" t="n">
        <x:v>108.79186559999998</x:v>
      </x:c>
      <x:c r="J4" s="4" t="n">
        <x:v>108.79186559999998</x:v>
      </x:c>
      <x:c r="K4" s="4" t="n">
        <x:v>0.1253431</x:v>
      </x:c>
      <x:c r="L4" s="1" t="str">
        <x:v>10part_TF=0.6_RDD=0.3</x:v>
      </x:c>
      <x:c r="M4" s="1"/>
      <x:c r="N4" s="1"/>
      <x:c r="O4" s="1"/>
      <x:c r="P4" s="1"/>
      <x:c r="Q4" s="1"/>
      <x:c r="R4" s="1"/>
      <x:c r="S4" s="1"/>
      <x:c r="T4" s="1"/>
    </x:row>
    <x:row r="5" ht="23" customHeight="1">
      <x:c r="A5" s="1" t="n">
        <x:v>4</x:v>
      </x:c>
      <x:c r="B5" s="1" t="n">
        <x:v>10</x:v>
      </x:c>
      <x:c r="C5" s="1" t="n">
        <x:v>0.6</x:v>
      </x:c>
      <x:c r="D5" s="1" t="n">
        <x:v>0.6</x:v>
      </x:c>
      <x:c r="E5" s="4" t="n">
        <x:v>116.30030719999998</x:v>
      </x:c>
      <x:c r="F5" s="4" t="n">
        <x:v>0.1223222</x:v>
      </x:c>
      <x:c r="G5" s="5" t="n">
        <x:v>0</x:v>
      </x:c>
      <x:c r="H5" s="1" t="str">
        <x:v>OPTIMAL</x:v>
      </x:c>
      <x:c r="I5" s="4" t="n">
        <x:v>116.30030719999998</x:v>
      </x:c>
      <x:c r="J5" s="4" t="n">
        <x:v>116.30030719999998</x:v>
      </x:c>
      <x:c r="K5" s="4" t="n">
        <x:v>0.124538</x:v>
      </x:c>
      <x:c r="L5" s="1" t="str">
        <x:v>10part_TF=0.6_RDD=0.6</x:v>
      </x:c>
      <x:c r="M5" s="1"/>
      <x:c r="N5" s="1"/>
      <x:c r="O5" s="1"/>
      <x:c r="P5" s="1"/>
      <x:c r="Q5" s="1"/>
      <x:c r="R5" s="1"/>
      <x:c r="S5" s="1"/>
      <x:c r="T5" s="1"/>
    </x:row>
    <x:row r="6" ht="23" customHeight="1">
      <x:c r="A6" s="1" t="n">
        <x:v>5</x:v>
      </x:c>
      <x:c r="B6" s="1" t="n">
        <x:v>11</x:v>
      </x:c>
      <x:c r="C6" s="1" t="n">
        <x:v>0.3</x:v>
      </x:c>
      <x:c r="D6" s="1" t="n">
        <x:v>0.3</x:v>
      </x:c>
      <x:c r="E6" s="4" t="n">
        <x:v>32.4109344</x:v>
      </x:c>
      <x:c r="F6" s="4" t="n">
        <x:v>0.3954296</x:v>
      </x:c>
      <x:c r="G6" s="5" t="n">
        <x:v>0</x:v>
      </x:c>
      <x:c r="H6" s="1" t="str">
        <x:v>OPTIMAL</x:v>
      </x:c>
      <x:c r="I6" s="4" t="n">
        <x:v>32.4109344</x:v>
      </x:c>
      <x:c r="J6" s="4" t="n">
        <x:v>32.4109344</x:v>
      </x:c>
      <x:c r="K6" s="4" t="n">
        <x:v>0.400681</x:v>
      </x:c>
      <x:c r="L6" s="1" t="str">
        <x:v>11part_TF=0.3_RDD=0.3</x:v>
      </x:c>
      <x:c r="M6" s="1"/>
      <x:c r="N6" s="1"/>
      <x:c r="O6" s="1"/>
      <x:c r="P6" s="1"/>
      <x:c r="Q6" s="1"/>
      <x:c r="R6" s="1"/>
      <x:c r="S6" s="1"/>
      <x:c r="T6" s="1"/>
    </x:row>
    <x:row r="7" ht="23" customHeight="1">
      <x:c r="A7" s="1" t="n">
        <x:v>6</x:v>
      </x:c>
      <x:c r="B7" s="1" t="n">
        <x:v>11</x:v>
      </x:c>
      <x:c r="C7" s="1" t="n">
        <x:v>0.3</x:v>
      </x:c>
      <x:c r="D7" s="1" t="n">
        <x:v>0.6</x:v>
      </x:c>
      <x:c r="E7" s="4" t="n">
        <x:v>38.42687039999999</x:v>
      </x:c>
      <x:c r="F7" s="4" t="n">
        <x:v>0.2358926</x:v>
      </x:c>
      <x:c r="G7" s="5" t="n">
        <x:v>0</x:v>
      </x:c>
      <x:c r="H7" s="1" t="str">
        <x:v>OPTIMAL</x:v>
      </x:c>
      <x:c r="I7" s="4" t="n">
        <x:v>38.42687039999999</x:v>
      </x:c>
      <x:c r="J7" s="4" t="n">
        <x:v>38.42687039999999</x:v>
      </x:c>
      <x:c r="K7" s="4" t="n">
        <x:v>0.2397119</x:v>
      </x:c>
      <x:c r="L7" s="1" t="str">
        <x:v>11part_TF=0.3_RDD=0.6</x:v>
      </x:c>
      <x:c r="M7" s="1"/>
      <x:c r="N7" s="1"/>
      <x:c r="O7" s="1"/>
      <x:c r="P7" s="1"/>
      <x:c r="Q7" s="1"/>
      <x:c r="R7" s="1"/>
      <x:c r="S7" s="1"/>
      <x:c r="T7" s="1"/>
    </x:row>
    <x:row r="8" ht="23" customHeight="1">
      <x:c r="A8" s="1" t="n">
        <x:v>7</x:v>
      </x:c>
      <x:c r="B8" s="1" t="n">
        <x:v>11</x:v>
      </x:c>
      <x:c r="C8" s="1" t="n">
        <x:v>0.6</x:v>
      </x:c>
      <x:c r="D8" s="1" t="n">
        <x:v>0.3</x:v>
      </x:c>
      <x:c r="E8" s="4" t="n">
        <x:v>108.34738560000001</x:v>
      </x:c>
      <x:c r="F8" s="4" t="n">
        <x:v>0.4369833</x:v>
      </x:c>
      <x:c r="G8" s="5" t="n">
        <x:v>0</x:v>
      </x:c>
      <x:c r="H8" s="1" t="str">
        <x:v>OPTIMAL</x:v>
      </x:c>
      <x:c r="I8" s="4" t="n">
        <x:v>108.34738560000001</x:v>
      </x:c>
      <x:c r="J8" s="4" t="n">
        <x:v>108.34738560000001</x:v>
      </x:c>
      <x:c r="K8" s="4" t="n">
        <x:v>0.4411445</x:v>
      </x:c>
      <x:c r="L8" s="1" t="str">
        <x:v>11part_TF=0.6_RDD=0.3</x:v>
      </x:c>
      <x:c r="M8" s="1"/>
      <x:c r="N8" s="1"/>
      <x:c r="O8" s="1"/>
      <x:c r="P8" s="1"/>
      <x:c r="Q8" s="1"/>
      <x:c r="R8" s="1"/>
      <x:c r="S8" s="1"/>
      <x:c r="T8" s="1"/>
    </x:row>
    <x:row r="9" ht="23" customHeight="1">
      <x:c r="A9" s="1" t="n">
        <x:v>8</x:v>
      </x:c>
      <x:c r="B9" s="1" t="n">
        <x:v>11</x:v>
      </x:c>
      <x:c r="C9" s="1" t="n">
        <x:v>0.6</x:v>
      </x:c>
      <x:c r="D9" s="1" t="n">
        <x:v>0.6</x:v>
      </x:c>
      <x:c r="E9" s="4" t="n">
        <x:v>110.60669119999997</x:v>
      </x:c>
      <x:c r="F9" s="4" t="n">
        <x:v>0.4437342</x:v>
      </x:c>
      <x:c r="G9" s="5" t="n">
        <x:v>0</x:v>
      </x:c>
      <x:c r="H9" s="1" t="str">
        <x:v>OPTIMAL</x:v>
      </x:c>
      <x:c r="I9" s="4" t="n">
        <x:v>110.60669119999997</x:v>
      </x:c>
      <x:c r="J9" s="4" t="n">
        <x:v>110.60669119999997</x:v>
      </x:c>
      <x:c r="K9" s="4" t="n">
        <x:v>0.4494575</x:v>
      </x:c>
      <x:c r="L9" s="1" t="str">
        <x:v>11part_TF=0.6_RDD=0.6</x:v>
      </x:c>
      <x:c r="M9" s="1"/>
      <x:c r="N9" s="1"/>
      <x:c r="O9" s="1"/>
      <x:c r="P9" s="1"/>
      <x:c r="Q9" s="1"/>
      <x:c r="R9" s="1"/>
      <x:c r="S9" s="1"/>
      <x:c r="T9" s="1"/>
    </x:row>
    <x:row r="10" ht="23" customHeight="1">
      <x:c r="A10" s="1" t="n">
        <x:v>9</x:v>
      </x:c>
      <x:c r="B10" s="1" t="n">
        <x:v>12</x:v>
      </x:c>
      <x:c r="C10" s="1" t="n">
        <x:v>0.3</x:v>
      </x:c>
      <x:c r="D10" s="1" t="n">
        <x:v>0.3</x:v>
      </x:c>
      <x:c r="E10" s="4" t="n">
        <x:v>33.652758399999996</x:v>
      </x:c>
      <x:c r="F10" s="4" t="n">
        <x:v>0.7146414</x:v>
      </x:c>
      <x:c r="G10" s="5" t="n">
        <x:v>0</x:v>
      </x:c>
      <x:c r="H10" s="1" t="str">
        <x:v>OPTIMAL</x:v>
      </x:c>
      <x:c r="I10" s="4" t="n">
        <x:v>33.652758399999996</x:v>
      </x:c>
      <x:c r="J10" s="4" t="n">
        <x:v>33.652758399999996</x:v>
      </x:c>
      <x:c r="K10" s="4" t="n">
        <x:v>0.7310315</x:v>
      </x:c>
      <x:c r="L10" s="1" t="str">
        <x:v>12part_TF=0.3_RDD=0.3</x:v>
      </x:c>
      <x:c r="M10" s="1"/>
      <x:c r="N10" s="1"/>
      <x:c r="O10" s="1"/>
      <x:c r="P10" s="1"/>
      <x:c r="Q10" s="1"/>
      <x:c r="R10" s="1"/>
      <x:c r="S10" s="1"/>
      <x:c r="T10" s="1"/>
    </x:row>
    <x:row r="11" ht="23" customHeight="1">
      <x:c r="A11" s="1" t="n">
        <x:v>10</x:v>
      </x:c>
      <x:c r="B11" s="1" t="n">
        <x:v>12</x:v>
      </x:c>
      <x:c r="C11" s="1" t="n">
        <x:v>0.3</x:v>
      </x:c>
      <x:c r="D11" s="1" t="n">
        <x:v>0.6</x:v>
      </x:c>
      <x:c r="E11" s="4" t="n">
        <x:v>41.50587840000001</x:v>
      </x:c>
      <x:c r="F11" s="4" t="n">
        <x:v>0.4613343</x:v>
      </x:c>
      <x:c r="G11" s="5" t="n">
        <x:v>0</x:v>
      </x:c>
      <x:c r="H11" s="1" t="str">
        <x:v>OPTIMAL</x:v>
      </x:c>
      <x:c r="I11" s="4" t="n">
        <x:v>41.50587840000001</x:v>
      </x:c>
      <x:c r="J11" s="4" t="n">
        <x:v>41.50587840000001</x:v>
      </x:c>
      <x:c r="K11" s="4" t="n">
        <x:v>0.4707071</x:v>
      </x:c>
      <x:c r="L11" s="1" t="str">
        <x:v>12part_TF=0.3_RDD=0.6</x:v>
      </x:c>
      <x:c r="M11" s="1"/>
      <x:c r="N11" s="1"/>
      <x:c r="O11" s="1"/>
      <x:c r="P11" s="1"/>
      <x:c r="Q11" s="1"/>
      <x:c r="R11" s="1"/>
      <x:c r="S11" s="1"/>
      <x:c r="T11" s="1"/>
    </x:row>
    <x:row r="12" ht="23" customHeight="1">
      <x:c r="A12" s="1" t="n">
        <x:v>11</x:v>
      </x:c>
      <x:c r="B12" s="1" t="n">
        <x:v>12</x:v>
      </x:c>
      <x:c r="C12" s="1" t="n">
        <x:v>0.6</x:v>
      </x:c>
      <x:c r="D12" s="1" t="n">
        <x:v>0.3</x:v>
      </x:c>
      <x:c r="E12" s="4" t="n">
        <x:v>129.25823359999998</x:v>
      </x:c>
      <x:c r="F12" s="4" t="n">
        <x:v>0.7265061</x:v>
      </x:c>
      <x:c r="G12" s="5" t="n">
        <x:v>0</x:v>
      </x:c>
      <x:c r="H12" s="1" t="str">
        <x:v>OPTIMAL</x:v>
      </x:c>
      <x:c r="I12" s="4" t="n">
        <x:v>129.25823359999998</x:v>
      </x:c>
      <x:c r="J12" s="4" t="n">
        <x:v>129.25823359999998</x:v>
      </x:c>
      <x:c r="K12" s="4" t="n">
        <x:v>0.7392915</x:v>
      </x:c>
      <x:c r="L12" s="1" t="str">
        <x:v>12part_TF=0.6_RDD=0.3</x:v>
      </x:c>
      <x:c r="M12" s="1"/>
      <x:c r="N12" s="1"/>
      <x:c r="O12" s="1"/>
      <x:c r="P12" s="1"/>
      <x:c r="Q12" s="1"/>
      <x:c r="R12" s="1"/>
      <x:c r="S12" s="1"/>
      <x:c r="T12" s="1"/>
    </x:row>
    <x:row r="13" ht="23" customHeight="1">
      <x:c r="A13" s="1" t="n">
        <x:v>12</x:v>
      </x:c>
      <x:c r="B13" s="1" t="n">
        <x:v>12</x:v>
      </x:c>
      <x:c r="C13" s="1" t="n">
        <x:v>0.6</x:v>
      </x:c>
      <x:c r="D13" s="1" t="n">
        <x:v>0.6</x:v>
      </x:c>
      <x:c r="E13" s="4" t="n">
        <x:v>139.0843456</x:v>
      </x:c>
      <x:c r="F13" s="4" t="n">
        <x:v>0.783675</x:v>
      </x:c>
      <x:c r="G13" s="5" t="n">
        <x:v>0</x:v>
      </x:c>
      <x:c r="H13" s="1" t="str">
        <x:v>OPTIMAL</x:v>
      </x:c>
      <x:c r="I13" s="4" t="n">
        <x:v>139.0843456</x:v>
      </x:c>
      <x:c r="J13" s="4" t="n">
        <x:v>139.0843456</x:v>
      </x:c>
      <x:c r="K13" s="4" t="n">
        <x:v>0.7963425</x:v>
      </x:c>
      <x:c r="L13" s="1" t="str">
        <x:v>12part_TF=0.6_RDD=0.6</x:v>
      </x:c>
      <x:c r="M13" s="1"/>
      <x:c r="N13" s="1"/>
      <x:c r="O13" s="1"/>
      <x:c r="P13" s="1"/>
      <x:c r="Q13" s="1"/>
      <x:c r="R13" s="1"/>
      <x:c r="S13" s="1"/>
      <x:c r="T13" s="1"/>
    </x:row>
    <x:row r="14" ht="23" customHeight="1">
      <x:c r="A14" s="1" t="n">
        <x:v>13</x:v>
      </x:c>
      <x:c r="B14" s="1" t="n">
        <x:v>13</x:v>
      </x:c>
      <x:c r="C14" s="1" t="n">
        <x:v>0.3</x:v>
      </x:c>
      <x:c r="D14" s="1" t="n">
        <x:v>0.3</x:v>
      </x:c>
      <x:c r="E14" s="4" t="n">
        <x:v>34.892374399999994</x:v>
      </x:c>
      <x:c r="F14" s="4" t="n">
        <x:v>2.2829728</x:v>
      </x:c>
      <x:c r="G14" s="5" t="n">
        <x:v>0</x:v>
      </x:c>
      <x:c r="H14" s="1" t="str">
        <x:v>OPTIMAL</x:v>
      </x:c>
      <x:c r="I14" s="4" t="n">
        <x:v>34.892374399999994</x:v>
      </x:c>
      <x:c r="J14" s="4" t="n">
        <x:v>34.892374399999994</x:v>
      </x:c>
      <x:c r="K14" s="4" t="n">
        <x:v>2.3398674</x:v>
      </x:c>
      <x:c r="L14" s="1" t="str">
        <x:v>13part_TF=0.3_RDD=0.3</x:v>
      </x:c>
      <x:c r="M14" s="1"/>
      <x:c r="N14" s="1"/>
      <x:c r="O14" s="1"/>
      <x:c r="P14" s="1"/>
      <x:c r="Q14" s="1"/>
      <x:c r="R14" s="1"/>
      <x:c r="S14" s="1"/>
      <x:c r="T14" s="1"/>
    </x:row>
    <x:row r="15" ht="23" customHeight="1">
      <x:c r="A15" s="1" t="n">
        <x:v>14</x:v>
      </x:c>
      <x:c r="B15" s="1" t="n">
        <x:v>13</x:v>
      </x:c>
      <x:c r="C15" s="1" t="n">
        <x:v>0.3</x:v>
      </x:c>
      <x:c r="D15" s="1" t="n">
        <x:v>0.6</x:v>
      </x:c>
      <x:c r="E15" s="4" t="n">
        <x:v>42.13547839999999</x:v>
      </x:c>
      <x:c r="F15" s="4" t="n">
        <x:v>1.5784188</x:v>
      </x:c>
      <x:c r="G15" s="5" t="n">
        <x:v>0</x:v>
      </x:c>
      <x:c r="H15" s="1" t="str">
        <x:v>OPTIMAL</x:v>
      </x:c>
      <x:c r="I15" s="4" t="n">
        <x:v>42.13547839999999</x:v>
      </x:c>
      <x:c r="J15" s="4" t="n">
        <x:v>42.13547839999999</x:v>
      </x:c>
      <x:c r="K15" s="4" t="n">
        <x:v>1.6207213</x:v>
      </x:c>
      <x:c r="L15" s="1" t="str">
        <x:v>13part_TF=0.3_RDD=0.6</x:v>
      </x:c>
      <x:c r="M15" s="1"/>
      <x:c r="N15" s="1"/>
      <x:c r="O15" s="1"/>
      <x:c r="P15" s="1"/>
      <x:c r="Q15" s="1"/>
      <x:c r="R15" s="1"/>
      <x:c r="S15" s="1"/>
      <x:c r="T15" s="1"/>
    </x:row>
    <x:row r="16" ht="23" customHeight="1">
      <x:c r="A16" s="1" t="n">
        <x:v>15</x:v>
      </x:c>
      <x:c r="B16" s="1" t="n">
        <x:v>13</x:v>
      </x:c>
      <x:c r="C16" s="1" t="n">
        <x:v>0.6</x:v>
      </x:c>
      <x:c r="D16" s="1" t="n">
        <x:v>0.3</x:v>
      </x:c>
      <x:c r="E16" s="4" t="n">
        <x:v>142.0060896</x:v>
      </x:c>
      <x:c r="F16" s="4" t="n">
        <x:v>2.0723021</x:v>
      </x:c>
      <x:c r="G16" s="5" t="n">
        <x:v>0</x:v>
      </x:c>
      <x:c r="H16" s="1" t="str">
        <x:v>OPTIMAL</x:v>
      </x:c>
      <x:c r="I16" s="4" t="n">
        <x:v>142.0060896</x:v>
      </x:c>
      <x:c r="J16" s="4" t="n">
        <x:v>142.0060896</x:v>
      </x:c>
      <x:c r="K16" s="4" t="n">
        <x:v>2.1195069</x:v>
      </x:c>
      <x:c r="L16" s="1" t="str">
        <x:v>13part_TF=0.6_RDD=0.3</x:v>
      </x:c>
      <x:c r="M16" s="1"/>
      <x:c r="N16" s="1"/>
      <x:c r="O16" s="1"/>
      <x:c r="P16" s="1"/>
      <x:c r="Q16" s="1"/>
      <x:c r="R16" s="1"/>
      <x:c r="S16" s="1"/>
      <x:c r="T16" s="1"/>
    </x:row>
    <x:row r="17" ht="23" customHeight="1">
      <x:c r="A17" s="1" t="n">
        <x:v>16</x:v>
      </x:c>
      <x:c r="B17" s="1" t="n">
        <x:v>13</x:v>
      </x:c>
      <x:c r="C17" s="1" t="n">
        <x:v>0.6</x:v>
      </x:c>
      <x:c r="D17" s="1" t="n">
        <x:v>0.6</x:v>
      </x:c>
      <x:c r="E17" s="4" t="n">
        <x:v>168.723312</x:v>
      </x:c>
      <x:c r="F17" s="4" t="n">
        <x:v>2.3576595</x:v>
      </x:c>
      <x:c r="G17" s="5" t="n">
        <x:v>0</x:v>
      </x:c>
      <x:c r="H17" s="1" t="str">
        <x:v>OPTIMAL</x:v>
      </x:c>
      <x:c r="I17" s="4" t="n">
        <x:v>168.723312</x:v>
      </x:c>
      <x:c r="J17" s="4" t="n">
        <x:v>168.723312</x:v>
      </x:c>
      <x:c r="K17" s="4" t="n">
        <x:v>2.414441</x:v>
      </x:c>
      <x:c r="L17" s="1" t="str">
        <x:v>13part_TF=0.6_RDD=0.6</x:v>
      </x:c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 t="n">
        <x:v>17</x:v>
      </x:c>
      <x:c r="B18" s="1" t="n">
        <x:v>14</x:v>
      </x:c>
      <x:c r="C18" s="1" t="n">
        <x:v>0.3</x:v>
      </x:c>
      <x:c r="D18" s="1" t="n">
        <x:v>0.3</x:v>
      </x:c>
      <x:c r="E18" s="4" t="n">
        <x:v>36.43412479999999</x:v>
      </x:c>
      <x:c r="F18" s="4" t="n">
        <x:v>10.6501864</x:v>
      </x:c>
      <x:c r="G18" s="5" t="n">
        <x:v>0</x:v>
      </x:c>
      <x:c r="H18" s="1" t="str">
        <x:v>OPTIMAL</x:v>
      </x:c>
      <x:c r="I18" s="4" t="n">
        <x:v>36.43412479999999</x:v>
      </x:c>
      <x:c r="J18" s="4" t="n">
        <x:v>36.43412479999999</x:v>
      </x:c>
      <x:c r="K18" s="4" t="n">
        <x:v>10.9034924</x:v>
      </x:c>
      <x:c r="L18" s="1" t="str">
        <x:v>14part_TF=0.3_RDD=0.3</x:v>
      </x:c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 t="n">
        <x:v>18</x:v>
      </x:c>
      <x:c r="B19" s="1" t="n">
        <x:v>14</x:v>
      </x:c>
      <x:c r="C19" s="1" t="n">
        <x:v>0.3</x:v>
      </x:c>
      <x:c r="D19" s="1" t="n">
        <x:v>0.6</x:v>
      </x:c>
      <x:c r="E19" s="4" t="n">
        <x:v>42.90594239999999</x:v>
      </x:c>
      <x:c r="F19" s="4" t="n">
        <x:v>4.9009587</x:v>
      </x:c>
      <x:c r="G19" s="5" t="n">
        <x:v>0</x:v>
      </x:c>
      <x:c r="H19" s="1" t="str">
        <x:v>OPTIMAL</x:v>
      </x:c>
      <x:c r="I19" s="4" t="n">
        <x:v>42.90594239999999</x:v>
      </x:c>
      <x:c r="J19" s="4" t="n">
        <x:v>42.90594239999999</x:v>
      </x:c>
      <x:c r="K19" s="4" t="n">
        <x:v>5.0303068</x:v>
      </x:c>
      <x:c r="L19" s="1" t="str">
        <x:v>14part_TF=0.3_RDD=0.6</x:v>
      </x:c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 t="n">
        <x:v>19</x:v>
      </x:c>
      <x:c r="B20" s="1" t="n">
        <x:v>14</x:v>
      </x:c>
      <x:c r="C20" s="1" t="n">
        <x:v>0.6</x:v>
      </x:c>
      <x:c r="D20" s="1" t="n">
        <x:v>0.3</x:v>
      </x:c>
      <x:c r="E20" s="4" t="n">
        <x:v>150.22820159999998</x:v>
      </x:c>
      <x:c r="F20" s="4" t="n">
        <x:v>4.8548205</x:v>
      </x:c>
      <x:c r="G20" s="5" t="n">
        <x:v>0</x:v>
      </x:c>
      <x:c r="H20" s="1" t="str">
        <x:v>OPTIMAL</x:v>
      </x:c>
      <x:c r="I20" s="4" t="n">
        <x:v>150.22820159999998</x:v>
      </x:c>
      <x:c r="J20" s="4" t="n">
        <x:v>150.22820159999998</x:v>
      </x:c>
      <x:c r="K20" s="4" t="n">
        <x:v>4.9905142</x:v>
      </x:c>
      <x:c r="L20" s="1" t="str">
        <x:v>14part_TF=0.6_RDD=0.3</x:v>
      </x:c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n">
        <x:v>20</x:v>
      </x:c>
      <x:c r="B21" s="1" t="n">
        <x:v>14</x:v>
      </x:c>
      <x:c r="C21" s="1" t="n">
        <x:v>0.6</x:v>
      </x:c>
      <x:c r="D21" s="1" t="n">
        <x:v>0.6</x:v>
      </x:c>
      <x:c r="E21" s="4" t="n">
        <x:v>156.5218112</x:v>
      </x:c>
      <x:c r="F21" s="4" t="n">
        <x:v>5.2876946</x:v>
      </x:c>
      <x:c r="G21" s="5" t="n">
        <x:v>0</x:v>
      </x:c>
      <x:c r="H21" s="1" t="str">
        <x:v>OPTIMAL</x:v>
      </x:c>
      <x:c r="I21" s="4" t="n">
        <x:v>156.5218112</x:v>
      </x:c>
      <x:c r="J21" s="4" t="n">
        <x:v>156.5218112</x:v>
      </x:c>
      <x:c r="K21" s="4" t="n">
        <x:v>5.4027409</x:v>
      </x:c>
      <x:c r="L21" s="1" t="str">
        <x:v>14part_TF=0.6_RDD=0.6</x:v>
      </x:c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1" t="n">
        <x:v>21</x:v>
      </x:c>
      <x:c r="B22" s="1" t="n">
        <x:v>15</x:v>
      </x:c>
      <x:c r="C22" s="1" t="n">
        <x:v>0.3</x:v>
      </x:c>
      <x:c r="D22" s="1" t="n">
        <x:v>0.3</x:v>
      </x:c>
      <x:c r="E22" s="4" t="n">
        <x:v>32.30592192</x:v>
      </x:c>
      <x:c r="F22" s="4" t="n">
        <x:v>46.96398</x:v>
      </x:c>
      <x:c r="G22" s="5" t="n">
        <x:v>0</x:v>
      </x:c>
      <x:c r="H22" s="1" t="str">
        <x:v>OPTIMAL</x:v>
      </x:c>
      <x:c r="I22" s="4" t="n">
        <x:v>32.30592192</x:v>
      </x:c>
      <x:c r="J22" s="4" t="n">
        <x:v>32.30592192</x:v>
      </x:c>
      <x:c r="K22" s="4" t="n">
        <x:v>47.9026694</x:v>
      </x:c>
      <x:c r="L22" s="1" t="str">
        <x:v>15part_TF=0.3_RDD=0.3</x:v>
      </x:c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1" t="n">
        <x:v>22</x:v>
      </x:c>
      <x:c r="B23" s="1" t="n">
        <x:v>15</x:v>
      </x:c>
      <x:c r="C23" s="1" t="n">
        <x:v>0.3</x:v>
      </x:c>
      <x:c r="D23" s="1" t="n">
        <x:v>0.6</x:v>
      </x:c>
      <x:c r="E23" s="4" t="n">
        <x:v>40.00592191999999</x:v>
      </x:c>
      <x:c r="F23" s="4" t="n">
        <x:v>21.8570798</x:v>
      </x:c>
      <x:c r="G23" s="5" t="n">
        <x:v>0</x:v>
      </x:c>
      <x:c r="H23" s="1" t="str">
        <x:v>OPTIMAL</x:v>
      </x:c>
      <x:c r="I23" s="4" t="n">
        <x:v>40.00592191999999</x:v>
      </x:c>
      <x:c r="J23" s="4" t="n">
        <x:v>40.00592191999999</x:v>
      </x:c>
      <x:c r="K23" s="4" t="n">
        <x:v>22.4329558</x:v>
      </x:c>
      <x:c r="L23" s="1" t="str">
        <x:v>15part_TF=0.3_RDD=0.6</x:v>
      </x:c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n">
        <x:v>23</x:v>
      </x:c>
      <x:c r="B24" s="1" t="n">
        <x:v>15</x:v>
      </x:c>
      <x:c r="C24" s="1" t="n">
        <x:v>0.6</x:v>
      </x:c>
      <x:c r="D24" s="1" t="n">
        <x:v>0.3</x:v>
      </x:c>
      <x:c r="E24" s="4" t="n">
        <x:v>129.83038144</x:v>
      </x:c>
      <x:c r="F24" s="4" t="n">
        <x:v>7.216066</x:v>
      </x:c>
      <x:c r="G24" s="5" t="n">
        <x:v>0</x:v>
      </x:c>
      <x:c r="H24" s="1" t="str">
        <x:v>OPTIMAL</x:v>
      </x:c>
      <x:c r="I24" s="4" t="n">
        <x:v>129.83038144</x:v>
      </x:c>
      <x:c r="J24" s="4" t="n">
        <x:v>129.83038144</x:v>
      </x:c>
      <x:c r="K24" s="4" t="n">
        <x:v>7.4335996</x:v>
      </x:c>
      <x:c r="L24" s="1" t="str">
        <x:v>15part_TF=0.6_RDD=0.3</x:v>
      </x:c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n">
        <x:v>24</x:v>
      </x:c>
      <x:c r="B25" s="1" t="n">
        <x:v>15</x:v>
      </x:c>
      <x:c r="C25" s="1" t="n">
        <x:v>0.6</x:v>
      </x:c>
      <x:c r="D25" s="1" t="n">
        <x:v>0.6</x:v>
      </x:c>
      <x:c r="E25" s="4" t="n">
        <x:v>139.06138944000003</x:v>
      </x:c>
      <x:c r="F25" s="4" t="n">
        <x:v>7.2704082</x:v>
      </x:c>
      <x:c r="G25" s="5" t="n">
        <x:v>0</x:v>
      </x:c>
      <x:c r="H25" s="1" t="str">
        <x:v>OPTIMAL</x:v>
      </x:c>
      <x:c r="I25" s="4" t="n">
        <x:v>139.06138944000003</x:v>
      </x:c>
      <x:c r="J25" s="4" t="n">
        <x:v>139.06138944000003</x:v>
      </x:c>
      <x:c r="K25" s="4" t="n">
        <x:v>7.4316776</x:v>
      </x:c>
      <x:c r="L25" s="1" t="str">
        <x:v>15part_TF=0.6_RDD=0.6</x:v>
      </x:c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n">
        <x:v>25</x:v>
      </x:c>
      <x:c r="B26" s="1" t="n">
        <x:v>16</x:v>
      </x:c>
      <x:c r="C26" s="1" t="n">
        <x:v>0.3</x:v>
      </x:c>
      <x:c r="D26" s="1" t="n">
        <x:v>0.3</x:v>
      </x:c>
      <x:c r="E26" s="4" t="n">
        <x:v>66.03152640000002</x:v>
      </x:c>
      <x:c r="F26" s="4" t="n">
        <x:v>103.6796436</x:v>
      </x:c>
      <x:c r="G26" s="5" t="n">
        <x:v>0</x:v>
      </x:c>
      <x:c r="H26" s="1" t="str">
        <x:v>OPTIMAL</x:v>
      </x:c>
      <x:c r="I26" s="4" t="n">
        <x:v>66.03152640000002</x:v>
      </x:c>
      <x:c r="J26" s="4" t="n">
        <x:v>66.03152640000002</x:v>
      </x:c>
      <x:c r="K26" s="4" t="n">
        <x:v>106.000223</x:v>
      </x:c>
      <x:c r="L26" s="1" t="str">
        <x:v>16part_TF=0.3_RDD=0.3</x:v>
      </x:c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 t="n">
        <x:v>26</x:v>
      </x:c>
      <x:c r="B27" s="1" t="n">
        <x:v>16</x:v>
      </x:c>
      <x:c r="C27" s="1" t="n">
        <x:v>0.3</x:v>
      </x:c>
      <x:c r="D27" s="1" t="n">
        <x:v>0.6</x:v>
      </x:c>
      <x:c r="E27" s="4" t="n">
        <x:v>69.61226079999997</x:v>
      </x:c>
      <x:c r="F27" s="4" t="n">
        <x:v>56.1574394</x:v>
      </x:c>
      <x:c r="G27" s="5" t="n">
        <x:v>0</x:v>
      </x:c>
      <x:c r="H27" s="1" t="str">
        <x:v>OPTIMAL</x:v>
      </x:c>
      <x:c r="I27" s="4" t="n">
        <x:v>69.61226079999997</x:v>
      </x:c>
      <x:c r="J27" s="4" t="n">
        <x:v>69.61226079999997</x:v>
      </x:c>
      <x:c r="K27" s="4" t="n">
        <x:v>57.4543687</x:v>
      </x:c>
      <x:c r="L27" s="1" t="str">
        <x:v>16part_TF=0.3_RDD=0.6</x:v>
      </x:c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 t="n">
        <x:v>27</x:v>
      </x:c>
      <x:c r="B28" s="1" t="n">
        <x:v>16</x:v>
      </x:c>
      <x:c r="C28" s="1" t="n">
        <x:v>0.6</x:v>
      </x:c>
      <x:c r="D28" s="1" t="n">
        <x:v>0.3</x:v>
      </x:c>
      <x:c r="E28" s="4" t="n">
        <x:v>206.55019519999993</x:v>
      </x:c>
      <x:c r="F28" s="4" t="n">
        <x:v>19.4426677</x:v>
      </x:c>
      <x:c r="G28" s="5" t="n">
        <x:v>0</x:v>
      </x:c>
      <x:c r="H28" s="1" t="str">
        <x:v>OPTIMAL</x:v>
      </x:c>
      <x:c r="I28" s="4" t="n">
        <x:v>206.55019519999993</x:v>
      </x:c>
      <x:c r="J28" s="4" t="n">
        <x:v>206.55019519999993</x:v>
      </x:c>
      <x:c r="K28" s="4" t="n">
        <x:v>19.9218709</x:v>
      </x:c>
      <x:c r="L28" s="1" t="str">
        <x:v>16part_TF=0.6_RDD=0.3</x:v>
      </x:c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 t="n">
        <x:v>28</x:v>
      </x:c>
      <x:c r="B29" s="1" t="n">
        <x:v>16</x:v>
      </x:c>
      <x:c r="C29" s="1" t="n">
        <x:v>0.6</x:v>
      </x:c>
      <x:c r="D29" s="1" t="n">
        <x:v>0.6</x:v>
      </x:c>
      <x:c r="E29" s="4" t="n">
        <x:v>227.69820799999997</x:v>
      </x:c>
      <x:c r="F29" s="4" t="n">
        <x:v>28.67244</x:v>
      </x:c>
      <x:c r="G29" s="5" t="n">
        <x:v>0</x:v>
      </x:c>
      <x:c r="H29" s="1" t="str">
        <x:v>OPTIMAL</x:v>
      </x:c>
      <x:c r="I29" s="4" t="n">
        <x:v>227.69820799999997</x:v>
      </x:c>
      <x:c r="J29" s="4" t="n">
        <x:v>227.69820799999997</x:v>
      </x:c>
      <x:c r="K29" s="4" t="n">
        <x:v>29.1106536</x:v>
      </x:c>
      <x:c r="L29" s="1" t="str">
        <x:v>16part_TF=0.6_RDD=0.6</x:v>
      </x:c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 t="n">
        <x:v>29</x:v>
      </x:c>
      <x:c r="B30" s="1" t="n">
        <x:v>17</x:v>
      </x:c>
      <x:c r="C30" s="1" t="n">
        <x:v>0.3</x:v>
      </x:c>
      <x:c r="D30" s="1" t="n">
        <x:v>0.3</x:v>
      </x:c>
      <x:c r="E30" s="4" t="n">
        <x:v>58.606369599999994</x:v>
      </x:c>
      <x:c r="F30" s="4" t="n">
        <x:v>286.4397153</x:v>
      </x:c>
      <x:c r="G30" s="5" t="n">
        <x:v>0</x:v>
      </x:c>
      <x:c r="H30" s="1" t="str">
        <x:v>OPTIMAL</x:v>
      </x:c>
      <x:c r="I30" s="4" t="n">
        <x:v>58.606369599999994</x:v>
      </x:c>
      <x:c r="J30" s="4" t="n">
        <x:v>58.606369599999994</x:v>
      </x:c>
      <x:c r="K30" s="4" t="n">
        <x:v>293.6367978</x:v>
      </x:c>
      <x:c r="L30" s="1" t="str">
        <x:v>17part_TF=0.3_RDD=0.3</x:v>
      </x:c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 t="n">
        <x:v>30</x:v>
      </x:c>
      <x:c r="B31" s="1" t="n">
        <x:v>17</x:v>
      </x:c>
      <x:c r="C31" s="1" t="n">
        <x:v>0.3</x:v>
      </x:c>
      <x:c r="D31" s="1" t="n">
        <x:v>0.6</x:v>
      </x:c>
      <x:c r="E31" s="4" t="n">
        <x:v>72.15854079999997</x:v>
      </x:c>
      <x:c r="F31" s="4" t="n">
        <x:v>143.9853876</x:v>
      </x:c>
      <x:c r="G31" s="5" t="n">
        <x:v>0</x:v>
      </x:c>
      <x:c r="H31" s="1" t="str">
        <x:v>OPTIMAL</x:v>
      </x:c>
      <x:c r="I31" s="4" t="n">
        <x:v>72.15854079999997</x:v>
      </x:c>
      <x:c r="J31" s="4" t="n">
        <x:v>72.15854079999997</x:v>
      </x:c>
      <x:c r="K31" s="4" t="n">
        <x:v>147.879994</x:v>
      </x:c>
      <x:c r="L31" s="1" t="str">
        <x:v>17part_TF=0.3_RDD=0.6</x:v>
      </x:c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 t="n">
        <x:v>31</x:v>
      </x:c>
      <x:c r="B32" s="1" t="n">
        <x:v>17</x:v>
      </x:c>
      <x:c r="C32" s="1" t="n">
        <x:v>0.6</x:v>
      </x:c>
      <x:c r="D32" s="1" t="n">
        <x:v>0.3</x:v>
      </x:c>
      <x:c r="E32" s="4" t="n">
        <x:v>214.18903520000003</x:v>
      </x:c>
      <x:c r="F32" s="4" t="n">
        <x:v>56.4838081</x:v>
      </x:c>
      <x:c r="G32" s="5" t="n">
        <x:v>0</x:v>
      </x:c>
      <x:c r="H32" s="1" t="str">
        <x:v>OPTIMAL</x:v>
      </x:c>
      <x:c r="I32" s="4" t="n">
        <x:v>214.18903520000003</x:v>
      </x:c>
      <x:c r="J32" s="4" t="n">
        <x:v>214.18903520000003</x:v>
      </x:c>
      <x:c r="K32" s="4" t="n">
        <x:v>57.8725241</x:v>
      </x:c>
      <x:c r="L32" s="1" t="str">
        <x:v>17part_TF=0.6_RDD=0.3</x:v>
      </x:c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 t="n">
        <x:v>32</x:v>
      </x:c>
      <x:c r="B33" s="1" t="n">
        <x:v>17</x:v>
      </x:c>
      <x:c r="C33" s="1" t="n">
        <x:v>0.6</x:v>
      </x:c>
      <x:c r="D33" s="1" t="n">
        <x:v>0.6</x:v>
      </x:c>
      <x:c r="E33" s="4" t="n">
        <x:v>237.03456799999998</x:v>
      </x:c>
      <x:c r="F33" s="4" t="n">
        <x:v>81.064532</x:v>
      </x:c>
      <x:c r="G33" s="5" t="n">
        <x:v>0</x:v>
      </x:c>
      <x:c r="H33" s="1" t="str">
        <x:v>OPTIMAL</x:v>
      </x:c>
      <x:c r="I33" s="4" t="n">
        <x:v>237.03456799999998</x:v>
      </x:c>
      <x:c r="J33" s="4" t="n">
        <x:v>237.03456799999998</x:v>
      </x:c>
      <x:c r="K33" s="4" t="n">
        <x:v>82.4943361</x:v>
      </x:c>
      <x:c r="L33" s="1" t="str">
        <x:v>17part_TF=0.6_RDD=0.6</x:v>
      </x:c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 t="n">
        <x:v>33</x:v>
      </x:c>
      <x:c r="B34" s="1" t="n">
        <x:v>18</x:v>
      </x:c>
      <x:c r="C34" s="1" t="n">
        <x:v>0.3</x:v>
      </x:c>
      <x:c r="D34" s="1" t="n">
        <x:v>0.3</x:v>
      </x:c>
      <x:c r="E34" s="4" t="n">
        <x:v>34.068544</x:v>
      </x:c>
      <x:c r="F34" s="4" t="n">
        <x:v>1322.5463045</x:v>
      </x:c>
      <x:c r="G34" s="5" t="n">
        <x:v>0</x:v>
      </x:c>
      <x:c r="H34" s="1" t="str">
        <x:v>OPTIMAL</x:v>
      </x:c>
      <x:c r="I34" s="4" t="n">
        <x:v>34.068544</x:v>
      </x:c>
      <x:c r="J34" s="4" t="n">
        <x:v>34.068544</x:v>
      </x:c>
      <x:c r="K34" s="4" t="n">
        <x:v>1398.926121</x:v>
      </x:c>
      <x:c r="L34" s="1" t="str">
        <x:v>18part_TF=0.3_RDD=0.3</x:v>
      </x:c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 t="n">
        <x:v>34</x:v>
      </x:c>
      <x:c r="B35" s="1" t="n">
        <x:v>18</x:v>
      </x:c>
      <x:c r="C35" s="1" t="n">
        <x:v>0.3</x:v>
      </x:c>
      <x:c r="D35" s="1" t="n">
        <x:v>0.6</x:v>
      </x:c>
      <x:c r="E35" s="4" t="n">
        <x:v>12.068544000000003</x:v>
      </x:c>
      <x:c r="F35" s="4" t="n">
        <x:v>216.3423383</x:v>
      </x:c>
      <x:c r="G35" s="5" t="n">
        <x:v>0</x:v>
      </x:c>
      <x:c r="H35" s="1" t="str">
        <x:v>OPTIMAL</x:v>
      </x:c>
      <x:c r="I35" s="4" t="n">
        <x:v>12.068544000000003</x:v>
      </x:c>
      <x:c r="J35" s="4" t="n">
        <x:v>12.068544000000003</x:v>
      </x:c>
      <x:c r="K35" s="4" t="n">
        <x:v>223.6386425</x:v>
      </x:c>
      <x:c r="L35" s="1" t="str">
        <x:v>18part_TF=0.3_RDD=0.6</x:v>
      </x:c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 t="n">
        <x:v>35</x:v>
      </x:c>
      <x:c r="B36" s="1" t="n">
        <x:v>18</x:v>
      </x:c>
      <x:c r="C36" s="1" t="n">
        <x:v>0.6</x:v>
      </x:c>
      <x:c r="D36" s="1" t="n">
        <x:v>0.3</x:v>
      </x:c>
      <x:c r="E36" s="4" t="n">
        <x:v>171.77653599999996</x:v>
      </x:c>
      <x:c r="F36" s="4" t="n">
        <x:v>182.715043</x:v>
      </x:c>
      <x:c r="G36" s="5" t="n">
        <x:v>0</x:v>
      </x:c>
      <x:c r="H36" s="1" t="str">
        <x:v>OPTIMAL</x:v>
      </x:c>
      <x:c r="I36" s="4" t="n">
        <x:v>171.77653599999996</x:v>
      </x:c>
      <x:c r="J36" s="4" t="n">
        <x:v>171.77653599999996</x:v>
      </x:c>
      <x:c r="K36" s="4" t="n">
        <x:v>188.4698747</x:v>
      </x:c>
      <x:c r="L36" s="1" t="str">
        <x:v>18part_TF=0.6_RDD=0.3</x:v>
      </x:c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 t="n">
        <x:v>36</x:v>
      </x:c>
      <x:c r="B37" s="1" t="n">
        <x:v>18</x:v>
      </x:c>
      <x:c r="C37" s="1" t="n">
        <x:v>0.6</x:v>
      </x:c>
      <x:c r="D37" s="1" t="n">
        <x:v>0.6</x:v>
      </x:c>
      <x:c r="E37" s="4" t="n">
        <x:v>154.82355999999993</x:v>
      </x:c>
      <x:c r="F37" s="4" t="n">
        <x:v>177.8956353</x:v>
      </x:c>
      <x:c r="G37" s="5" t="n">
        <x:v>0</x:v>
      </x:c>
      <x:c r="H37" s="1" t="str">
        <x:v>OPTIMAL</x:v>
      </x:c>
      <x:c r="I37" s="4" t="n">
        <x:v>154.82355999999993</x:v>
      </x:c>
      <x:c r="J37" s="4" t="n">
        <x:v>154.82355999999993</x:v>
      </x:c>
      <x:c r="K37" s="4" t="n">
        <x:v>183.1719287</x:v>
      </x:c>
      <x:c r="L37" s="1" t="str">
        <x:v>18part_TF=0.6_RDD=0.6</x:v>
      </x:c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 t="n">
        <x:v>37</x:v>
      </x:c>
      <x:c r="B38" s="1" t="n">
        <x:v>19</x:v>
      </x:c>
      <x:c r="C38" s="1" t="n">
        <x:v>0.3</x:v>
      </x:c>
      <x:c r="D38" s="1" t="n">
        <x:v>0.3</x:v>
      </x:c>
      <x:c r="E38" s="4" t="n">
        <x:v>292.56523359999994</x:v>
      </x:c>
      <x:c r="F38" s="4" t="n">
        <x:v>830.6004666</x:v>
      </x:c>
      <x:c r="G38" s="5" t="n">
        <x:v>0</x:v>
      </x:c>
      <x:c r="H38" s="1" t="str">
        <x:v>OPTIMAL</x:v>
      </x:c>
      <x:c r="I38" s="4" t="n">
        <x:v>292.56523359999994</x:v>
      </x:c>
      <x:c r="J38" s="4" t="n">
        <x:v>292.56523359999994</x:v>
      </x:c>
      <x:c r="K38" s="4" t="n">
        <x:v>853.3165907</x:v>
      </x:c>
      <x:c r="L38" s="1" t="str">
        <x:v>19part_TF=0.3_RDD=0.3</x:v>
      </x:c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 t="n">
        <x:v>38</x:v>
      </x:c>
      <x:c r="B39" s="1" t="n">
        <x:v>19</x:v>
      </x:c>
      <x:c r="C39" s="1" t="n">
        <x:v>0.3</x:v>
      </x:c>
      <x:c r="D39" s="1" t="n">
        <x:v>0.6</x:v>
      </x:c>
      <x:c r="E39" s="4" t="n">
        <x:v>291.74097119999993</x:v>
      </x:c>
      <x:c r="F39" s="4" t="n">
        <x:v>451.3058704</x:v>
      </x:c>
      <x:c r="G39" s="5" t="n">
        <x:v>0</x:v>
      </x:c>
      <x:c r="H39" s="1" t="str">
        <x:v>OPTIMAL</x:v>
      </x:c>
      <x:c r="I39" s="4" t="n">
        <x:v>291.74097119999993</x:v>
      </x:c>
      <x:c r="J39" s="4" t="n">
        <x:v>291.74097119999993</x:v>
      </x:c>
      <x:c r="K39" s="4" t="n">
        <x:v>461.4224729</x:v>
      </x:c>
      <x:c r="L39" s="1" t="str">
        <x:v>19part_TF=0.3_RDD=0.6</x:v>
      </x:c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 t="n">
        <x:v>39</x:v>
      </x:c>
      <x:c r="B40" s="1" t="n">
        <x:v>19</x:v>
      </x:c>
      <x:c r="C40" s="1" t="n">
        <x:v>0.6</x:v>
      </x:c>
      <x:c r="D40" s="1" t="n">
        <x:v>0.3</x:v>
      </x:c>
      <x:c r="E40" s="4" t="n">
        <x:v>400.53202559999994</x:v>
      </x:c>
      <x:c r="F40" s="4" t="n">
        <x:v>355.7542873</x:v>
      </x:c>
      <x:c r="G40" s="5" t="n">
        <x:v>0</x:v>
      </x:c>
      <x:c r="H40" s="1" t="str">
        <x:v>OPTIMAL</x:v>
      </x:c>
      <x:c r="I40" s="4" t="n">
        <x:v>400.53202559999994</x:v>
      </x:c>
      <x:c r="J40" s="4" t="n">
        <x:v>400.53202559999994</x:v>
      </x:c>
      <x:c r="K40" s="4" t="n">
        <x:v>363.058939</x:v>
      </x:c>
      <x:c r="L40" s="1" t="str">
        <x:v>19part_TF=0.6_RDD=0.3</x:v>
      </x:c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 t="n">
        <x:v>40</x:v>
      </x:c>
      <x:c r="B41" s="1" t="n">
        <x:v>19</x:v>
      </x:c>
      <x:c r="C41" s="1" t="n">
        <x:v>0.6</x:v>
      </x:c>
      <x:c r="D41" s="1" t="n">
        <x:v>0.6</x:v>
      </x:c>
      <x:c r="E41" s="4" t="n">
        <x:v>309.87042399999996</x:v>
      </x:c>
      <x:c r="F41" s="4" t="n">
        <x:v>472.8373221</x:v>
      </x:c>
      <x:c r="G41" s="5" t="n">
        <x:v>0</x:v>
      </x:c>
      <x:c r="H41" s="1" t="str">
        <x:v>OPTIMAL</x:v>
      </x:c>
      <x:c r="I41" s="4" t="n">
        <x:v>309.87042399999996</x:v>
      </x:c>
      <x:c r="J41" s="4" t="n">
        <x:v>309.87042399999996</x:v>
      </x:c>
      <x:c r="K41" s="4" t="n">
        <x:v>485.1386783</x:v>
      </x:c>
      <x:c r="L41" s="1" t="str">
        <x:v>19part_TF=0.6_RDD=0.6</x:v>
      </x:c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 t="n">
        <x:v>41</x:v>
      </x:c>
      <x:c r="B42" s="1" t="n">
        <x:v>20</x:v>
      </x:c>
      <x:c r="C42" s="1" t="n">
        <x:v>0.3</x:v>
      </x:c>
      <x:c r="D42" s="1" t="n">
        <x:v>0.3</x:v>
      </x:c>
      <x:c r="E42" s="4"/>
      <x:c r="F42" s="4" t="n">
        <x:v>3600.0002994</x:v>
      </x:c>
      <x:c r="G42" s="5" t="n">
        <x:v>0.9346987307246885</x:v>
      </x:c>
      <x:c r="H42" s="1" t="str">
        <x:v>TIME_LIMIT</x:v>
      </x:c>
      <x:c r="I42" s="4" t="n">
        <x:v>51.739759999999976</x:v>
      </x:c>
      <x:c r="J42" s="4" t="n">
        <x:v>3.3786719999999946</x:v>
      </x:c>
      <x:c r="K42" s="4" t="n">
        <x:v>6010.8884568</x:v>
      </x:c>
      <x:c r="L42" s="1" t="str">
        <x:v>20part_TF=0.3_RDD=0.3</x:v>
      </x:c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 t="n">
        <x:v>42</x:v>
      </x:c>
      <x:c r="B43" s="1" t="n">
        <x:v>20</x:v>
      </x:c>
      <x:c r="C43" s="1" t="n">
        <x:v>0.3</x:v>
      </x:c>
      <x:c r="D43" s="1" t="n">
        <x:v>0.6</x:v>
      </x:c>
      <x:c r="E43" s="4"/>
      <x:c r="F43" s="4" t="n">
        <x:v>3600.0000085</x:v>
      </x:c>
      <x:c r="G43" s="5" t="n">
        <x:v>1</x:v>
      </x:c>
      <x:c r="H43" s="1" t="str">
        <x:v>TIME_LIMIT</x:v>
      </x:c>
      <x:c r="I43" s="4" t="n">
        <x:v>37.12963199999997</x:v>
      </x:c>
      <x:c r="J43" s="4" t="n">
        <x:v>0</x:v>
      </x:c>
      <x:c r="K43" s="4" t="n">
        <x:v>6806.8089173</x:v>
      </x:c>
      <x:c r="L43" s="1" t="str">
        <x:v>20part_TF=0.3_RDD=0.6</x:v>
      </x:c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 t="n">
        <x:v>43</x:v>
      </x:c>
      <x:c r="B44" s="1" t="n">
        <x:v>20</x:v>
      </x:c>
      <x:c r="C44" s="1" t="n">
        <x:v>0.6</x:v>
      </x:c>
      <x:c r="D44" s="1" t="n">
        <x:v>0.3</x:v>
      </x:c>
      <x:c r="E44" s="4" t="n">
        <x:v>219.6890239999999</x:v>
      </x:c>
      <x:c r="F44" s="4" t="n">
        <x:v>2931.5486761</x:v>
      </x:c>
      <x:c r="G44" s="5" t="n">
        <x:v>0</x:v>
      </x:c>
      <x:c r="H44" s="1" t="str">
        <x:v>OPTIMAL</x:v>
      </x:c>
      <x:c r="I44" s="4" t="n">
        <x:v>219.6890239999999</x:v>
      </x:c>
      <x:c r="J44" s="4" t="n">
        <x:v>219.6890239999999</x:v>
      </x:c>
      <x:c r="K44" s="4" t="n">
        <x:v>5662.5929435</x:v>
      </x:c>
      <x:c r="L44" s="1" t="str">
        <x:v>20part_TF=0.6_RDD=0.3</x:v>
      </x:c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 t="n">
        <x:v>44</x:v>
      </x:c>
      <x:c r="B45" s="1" t="n">
        <x:v>20</x:v>
      </x:c>
      <x:c r="C45" s="1" t="n">
        <x:v>0.6</x:v>
      </x:c>
      <x:c r="D45" s="1" t="n">
        <x:v>0.6</x:v>
      </x:c>
      <x:c r="E45" s="4" t="n">
        <x:v>214.06743199999994</x:v>
      </x:c>
      <x:c r="F45" s="4" t="n">
        <x:v>1517.8446432</x:v>
      </x:c>
      <x:c r="G45" s="5" t="n">
        <x:v>0</x:v>
      </x:c>
      <x:c r="H45" s="1" t="str">
        <x:v>OPTIMAL</x:v>
      </x:c>
      <x:c r="I45" s="4" t="n">
        <x:v>214.06743199999994</x:v>
      </x:c>
      <x:c r="J45" s="4" t="n">
        <x:v>214.06743199999994</x:v>
      </x:c>
      <x:c r="K45" s="4" t="n">
        <x:v>2099.230973</x:v>
      </x:c>
      <x:c r="L45" s="1" t="str">
        <x:v>20part_TF=0.6_RDD=0.6</x:v>
      </x:c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 t="n">
        <x:v>45</x:v>
      </x:c>
      <x:c r="B46" s="1" t="n">
        <x:v>21</x:v>
      </x:c>
      <x:c r="C46" s="1" t="n">
        <x:v>0.3</x:v>
      </x:c>
      <x:c r="D46" s="1" t="n">
        <x:v>0.3</x:v>
      </x:c>
      <x:c r="E46" s="4"/>
      <x:c r="F46" s="4" t="n">
        <x:v>3600.0000066</x:v>
      </x:c>
      <x:c r="G46" s="5" t="n">
        <x:v>0.9683196428147154</x:v>
      </x:c>
      <x:c r="H46" s="1" t="str">
        <x:v>TIME_LIMIT</x:v>
      </x:c>
      <x:c r="I46" s="4" t="n">
        <x:v>101.48395679999997</x:v>
      </x:c>
      <x:c r="J46" s="4" t="n">
        <x:v>3.215047999999996</x:v>
      </x:c>
      <x:c r="K46" s="4" t="n">
        <x:v>6867.374098</x:v>
      </x:c>
      <x:c r="L46" s="1" t="str">
        <x:v>21part_TF=0.3_RDD=0.3</x:v>
      </x:c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 t="n">
        <x:v>46</x:v>
      </x:c>
      <x:c r="B47" s="1" t="n">
        <x:v>21</x:v>
      </x:c>
      <x:c r="C47" s="1" t="n">
        <x:v>0.3</x:v>
      </x:c>
      <x:c r="D47" s="1" t="n">
        <x:v>0.6</x:v>
      </x:c>
      <x:c r="E47" s="4"/>
      <x:c r="F47" s="4" t="n">
        <x:v>3600.00001</x:v>
      </x:c>
      <x:c r="G47" s="5" t="n">
        <x:v>1</x:v>
      </x:c>
      <x:c r="H47" s="1" t="str">
        <x:v>TIME_LIMIT</x:v>
      </x:c>
      <x:c r="I47" s="4" t="n">
        <x:v>55.97139200000004</x:v>
      </x:c>
      <x:c r="J47" s="4" t="n">
        <x:v>0</x:v>
      </x:c>
      <x:c r="K47" s="4" t="n">
        <x:v>5583.3233194</x:v>
      </x:c>
      <x:c r="L47" s="1" t="str">
        <x:v>21part_TF=0.3_RDD=0.6</x:v>
      </x:c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 t="n">
        <x:v>47</x:v>
      </x:c>
      <x:c r="B48" s="1" t="n">
        <x:v>21</x:v>
      </x:c>
      <x:c r="C48" s="1" t="n">
        <x:v>0.6</x:v>
      </x:c>
      <x:c r="D48" s="1" t="n">
        <x:v>0.3</x:v>
      </x:c>
      <x:c r="E48" s="4"/>
      <x:c r="F48" s="4" t="n">
        <x:v>3600.0001344</x:v>
      </x:c>
      <x:c r="G48" s="5" t="n">
        <x:v>0.7461604588049066</x:v>
      </x:c>
      <x:c r="H48" s="1" t="str">
        <x:v>TIME_LIMIT</x:v>
      </x:c>
      <x:c r="I48" s="4" t="n">
        <x:v>297.5778463999999</x:v>
      </x:c>
      <x:c r="J48" s="4" t="n">
        <x:v>75.53702399999999</x:v>
      </x:c>
      <x:c r="K48" s="4" t="n">
        <x:v>5965.6628093</x:v>
      </x:c>
      <x:c r="L48" s="1" t="str">
        <x:v>21part_TF=0.6_RDD=0.3</x:v>
      </x:c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 t="n">
        <x:v>48</x:v>
      </x:c>
      <x:c r="B49" s="1" t="n">
        <x:v>21</x:v>
      </x:c>
      <x:c r="C49" s="1" t="n">
        <x:v>0.6</x:v>
      </x:c>
      <x:c r="D49" s="1" t="n">
        <x:v>0.6</x:v>
      </x:c>
      <x:c r="E49" s="4"/>
      <x:c r="F49" s="4" t="n">
        <x:v>3600.0000816</x:v>
      </x:c>
      <x:c r="G49" s="5" t="n">
        <x:v>0.8111112151181222</x:v>
      </x:c>
      <x:c r="H49" s="1" t="str">
        <x:v>TIME_LIMIT</x:v>
      </x:c>
      <x:c r="I49" s="4" t="n">
        <x:v>269.3835487999999</x:v>
      </x:c>
      <x:c r="J49" s="4" t="n">
        <x:v>50.88353119999999</x:v>
      </x:c>
      <x:c r="K49" s="4" t="n">
        <x:v>5763.3232864</x:v>
      </x:c>
      <x:c r="L49" s="1" t="str">
        <x:v>21part_TF=0.6_RDD=0.6</x:v>
      </x:c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</x:sheetData>
  <x:conditionalFormatting sqref="H2:H49">
    <x:cfRule type="expression" dxfId="0" priority="1">
      <x:formula>H2="TIME_LIMIT"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106526f2644a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3" customHeight="1">
      <x:c r="A1" s="3" t="str">
        <x:v>instance_id</x:v>
      </x:c>
      <x:c r="B1" s="3" t="str">
        <x:v>n_parts</x:v>
      </x:c>
      <x:c r="C1" s="3" t="str">
        <x:v>alpha_ser</x:v>
      </x:c>
      <x:c r="D1" s="3" t="str">
        <x:v>alpha_pos</x:v>
      </x:c>
      <x:c r="E1" s="3" t="str">
        <x:v>solve_status</x:v>
      </x:c>
      <x:c r="F1" s="3" t="str">
        <x:v>time_limit_seconds</x:v>
      </x:c>
      <x:c r="G1" s="3" t="str">
        <x:v>optimal_time_seconds</x:v>
      </x:c>
      <x:c r="H1" s="3" t="str">
        <x:v>search_time_seconds</x:v>
      </x:c>
      <x:c r="I1" s="3" t="str">
        <x:v>solver_call_seconds</x:v>
      </x:c>
      <x:c r="J1" s="3" t="str">
        <x:v>final_UB</x:v>
      </x:c>
      <x:c r="K1" s="3" t="str">
        <x:v>final_LB</x:v>
      </x:c>
      <x:c r="L1" s="3" t="str">
        <x:v>MIP_gap</x:v>
      </x:c>
      <x:c r="M1" s="3" t="str">
        <x:v>MIP_gap_percent</x:v>
      </x:c>
      <x:c r="N1" s="3" t="str">
        <x:v>total_nodes</x:v>
      </x:c>
      <x:c r="O1" s="3" t="str">
        <x:v>serial_dp_trigger_count</x:v>
      </x:c>
      <x:c r="P1" s="3" t="str">
        <x:v>serial_pruning_count</x:v>
      </x:c>
      <x:c r="Q1" s="3" t="str">
        <x:v>solver_version</x:v>
      </x:c>
      <x:c r="R1" s="3" t="str">
        <x:v>timing_version</x:v>
      </x:c>
      <x:c r="S1" s="3" t="str">
        <x:v>input_file</x:v>
      </x:c>
      <x:c r="T1" s="3" t="str">
        <x:v>source_log</x:v>
      </x:c>
    </x:row>
    <x:row r="2" ht="23" customHeight="1">
      <x:c r="A2" s="1" t="str">
        <x:v>10part_TF=0.3_RDD=0.3</x:v>
      </x:c>
      <x:c r="B2" s="1" t="n">
        <x:v>10</x:v>
      </x:c>
      <x:c r="C2" s="1" t="n">
        <x:v>0</x:v>
      </x:c>
      <x:c r="D2" s="1" t="n">
        <x:v>0.2</x:v>
      </x:c>
      <x:c r="E2" s="1" t="str">
        <x:v>OPTIMAL</x:v>
      </x:c>
      <x:c r="F2" s="1" t="n">
        <x:v>3600</x:v>
      </x:c>
      <x:c r="G2" s="1" t="n">
        <x:v>0.1307768</x:v>
      </x:c>
      <x:c r="H2" s="1" t="n">
        <x:v>0.1307768</x:v>
      </x:c>
      <x:c r="I2" s="1" t="n">
        <x:v>0.1330896</x:v>
      </x:c>
      <x:c r="J2" s="1" t="n">
        <x:v>29.206777600000002</x:v>
      </x:c>
      <x:c r="K2" s="1" t="n">
        <x:v>29.206777600000002</x:v>
      </x:c>
      <x:c r="L2" s="1" t="n">
        <x:v>0</x:v>
      </x:c>
      <x:c r="M2" s="1" t="n">
        <x:v>0</x:v>
      </x:c>
      <x:c r="N2" s="1" t="n">
        <x:v>7352</x:v>
      </x:c>
      <x:c r="O2" s="1" t="n">
        <x:v>0</x:v>
      </x:c>
      <x:c r="P2" s="1" t="n">
        <x:v>0</x:v>
      </x:c>
      <x:c r="Q2" s="1" t="str">
        <x:v>bb_pending_bounds_v1</x:v>
      </x:c>
      <x:c r="R2" s="1" t="str">
        <x:v>search_after_cache_before_cleanup_v1</x:v>
      </x:c>
      <x:c r="S2" s="1" t="str">
        <x:v>D:\C++\Branch&amp;Bound_charge\GeneratedResults\10part_TF=0.3_RDD=0.3.txt</x:v>
      </x:c>
      <x:c r="T2" s="1" t="str">
        <x:v>Journal article/BB_Basic/10part_TF=0.3_RDD=0.3_log_1.txt</x:v>
      </x:c>
    </x:row>
    <x:row r="3" ht="23" customHeight="1">
      <x:c r="A3" s="1" t="str">
        <x:v>10part_TF=0.3_RDD=0.6</x:v>
      </x:c>
      <x:c r="B3" s="1" t="n">
        <x:v>10</x:v>
      </x:c>
      <x:c r="C3" s="1" t="n">
        <x:v>0</x:v>
      </x:c>
      <x:c r="D3" s="1" t="n">
        <x:v>0.2</x:v>
      </x:c>
      <x:c r="E3" s="1" t="str">
        <x:v>OPTIMAL</x:v>
      </x:c>
      <x:c r="F3" s="1" t="n">
        <x:v>3600</x:v>
      </x:c>
      <x:c r="G3" s="1" t="n">
        <x:v>0.1222711</x:v>
      </x:c>
      <x:c r="H3" s="1" t="n">
        <x:v>0.1222711</x:v>
      </x:c>
      <x:c r="I3" s="1" t="n">
        <x:v>0.1258305</x:v>
      </x:c>
      <x:c r="J3" s="1" t="n">
        <x:v>37.5009504</x:v>
      </x:c>
      <x:c r="K3" s="1" t="n">
        <x:v>37.5009504</x:v>
      </x:c>
      <x:c r="L3" s="1" t="n">
        <x:v>0</x:v>
      </x:c>
      <x:c r="M3" s="1" t="n">
        <x:v>0</x:v>
      </x:c>
      <x:c r="N3" s="1" t="n">
        <x:v>7018</x:v>
      </x:c>
      <x:c r="O3" s="1" t="n">
        <x:v>0</x:v>
      </x:c>
      <x:c r="P3" s="1" t="n">
        <x:v>0</x:v>
      </x:c>
      <x:c r="Q3" s="1" t="str">
        <x:v>bb_pending_bounds_v1</x:v>
      </x:c>
      <x:c r="R3" s="1" t="str">
        <x:v>search_after_cache_before_cleanup_v1</x:v>
      </x:c>
      <x:c r="S3" s="1" t="str">
        <x:v>D:\C++\Branch&amp;Bound_charge\GeneratedResults\10part_TF=0.3_RDD=0.6.txt</x:v>
      </x:c>
      <x:c r="T3" s="1" t="str">
        <x:v>Journal article/BB_Basic/10part_TF=0.3_RDD=0.6_log_1.txt</x:v>
      </x:c>
    </x:row>
    <x:row r="4" ht="23" customHeight="1">
      <x:c r="A4" s="1" t="str">
        <x:v>10part_TF=0.6_RDD=0.3</x:v>
      </x:c>
      <x:c r="B4" s="1" t="n">
        <x:v>10</x:v>
      </x:c>
      <x:c r="C4" s="1" t="n">
        <x:v>0</x:v>
      </x:c>
      <x:c r="D4" s="1" t="n">
        <x:v>0.2</x:v>
      </x:c>
      <x:c r="E4" s="1" t="str">
        <x:v>OPTIMAL</x:v>
      </x:c>
      <x:c r="F4" s="1" t="n">
        <x:v>3600</x:v>
      </x:c>
      <x:c r="G4" s="1" t="n">
        <x:v>0.1232385</x:v>
      </x:c>
      <x:c r="H4" s="1" t="n">
        <x:v>0.1232385</x:v>
      </x:c>
      <x:c r="I4" s="1" t="n">
        <x:v>0.1253431</x:v>
      </x:c>
      <x:c r="J4" s="1" t="n">
        <x:v>108.79186559999998</x:v>
      </x:c>
      <x:c r="K4" s="1" t="n">
        <x:v>108.79186559999998</x:v>
      </x:c>
      <x:c r="L4" s="1" t="n">
        <x:v>0</x:v>
      </x:c>
      <x:c r="M4" s="1" t="n">
        <x:v>0</x:v>
      </x:c>
      <x:c r="N4" s="1" t="n">
        <x:v>7467</x:v>
      </x:c>
      <x:c r="O4" s="1" t="n">
        <x:v>0</x:v>
      </x:c>
      <x:c r="P4" s="1" t="n">
        <x:v>0</x:v>
      </x:c>
      <x:c r="Q4" s="1" t="str">
        <x:v>bb_pending_bounds_v1</x:v>
      </x:c>
      <x:c r="R4" s="1" t="str">
        <x:v>search_after_cache_before_cleanup_v1</x:v>
      </x:c>
      <x:c r="S4" s="1" t="str">
        <x:v>D:\C++\Branch&amp;Bound_charge\GeneratedResults\10part_TF=0.6_RDD=0.3.txt</x:v>
      </x:c>
      <x:c r="T4" s="1" t="str">
        <x:v>Journal article/BB_Basic/10part_TF=0.6_RDD=0.3_log_1.txt</x:v>
      </x:c>
    </x:row>
    <x:row r="5" ht="23" customHeight="1">
      <x:c r="A5" s="1" t="str">
        <x:v>10part_TF=0.6_RDD=0.6</x:v>
      </x:c>
      <x:c r="B5" s="1" t="n">
        <x:v>10</x:v>
      </x:c>
      <x:c r="C5" s="1" t="n">
        <x:v>0</x:v>
      </x:c>
      <x:c r="D5" s="1" t="n">
        <x:v>0.2</x:v>
      </x:c>
      <x:c r="E5" s="1" t="str">
        <x:v>OPTIMAL</x:v>
      </x:c>
      <x:c r="F5" s="1" t="n">
        <x:v>3600</x:v>
      </x:c>
      <x:c r="G5" s="1" t="n">
        <x:v>0.1223222</x:v>
      </x:c>
      <x:c r="H5" s="1" t="n">
        <x:v>0.1223222</x:v>
      </x:c>
      <x:c r="I5" s="1" t="n">
        <x:v>0.124538</x:v>
      </x:c>
      <x:c r="J5" s="1" t="n">
        <x:v>116.30030719999998</x:v>
      </x:c>
      <x:c r="K5" s="1" t="n">
        <x:v>116.30030719999998</x:v>
      </x:c>
      <x:c r="L5" s="1" t="n">
        <x:v>0</x:v>
      </x:c>
      <x:c r="M5" s="1" t="n">
        <x:v>0</x:v>
      </x:c>
      <x:c r="N5" s="1" t="n">
        <x:v>7945</x:v>
      </x:c>
      <x:c r="O5" s="1" t="n">
        <x:v>0</x:v>
      </x:c>
      <x:c r="P5" s="1" t="n">
        <x:v>0</x:v>
      </x:c>
      <x:c r="Q5" s="1" t="str">
        <x:v>bb_pending_bounds_v1</x:v>
      </x:c>
      <x:c r="R5" s="1" t="str">
        <x:v>search_after_cache_before_cleanup_v1</x:v>
      </x:c>
      <x:c r="S5" s="1" t="str">
        <x:v>D:\C++\Branch&amp;Bound_charge\GeneratedResults\10part_TF=0.6_RDD=0.6.txt</x:v>
      </x:c>
      <x:c r="T5" s="1" t="str">
        <x:v>Journal article/BB_Basic/10part_TF=0.6_RDD=0.6_log_1.txt</x:v>
      </x:c>
    </x:row>
    <x:row r="6" ht="23" customHeight="1">
      <x:c r="A6" s="1" t="str">
        <x:v>11part_TF=0.3_RDD=0.3</x:v>
      </x:c>
      <x:c r="B6" s="1" t="n">
        <x:v>11</x:v>
      </x:c>
      <x:c r="C6" s="1" t="n">
        <x:v>0</x:v>
      </x:c>
      <x:c r="D6" s="1" t="n">
        <x:v>0.2</x:v>
      </x:c>
      <x:c r="E6" s="1" t="str">
        <x:v>OPTIMAL</x:v>
      </x:c>
      <x:c r="F6" s="1" t="n">
        <x:v>3600</x:v>
      </x:c>
      <x:c r="G6" s="1" t="n">
        <x:v>0.3954296</x:v>
      </x:c>
      <x:c r="H6" s="1" t="n">
        <x:v>0.3954296</x:v>
      </x:c>
      <x:c r="I6" s="1" t="n">
        <x:v>0.400681</x:v>
      </x:c>
      <x:c r="J6" s="1" t="n">
        <x:v>32.4109344</x:v>
      </x:c>
      <x:c r="K6" s="1" t="n">
        <x:v>32.4109344</x:v>
      </x:c>
      <x:c r="L6" s="1" t="n">
        <x:v>0</x:v>
      </x:c>
      <x:c r="M6" s="1" t="n">
        <x:v>0</x:v>
      </x:c>
      <x:c r="N6" s="1" t="n">
        <x:v>19455</x:v>
      </x:c>
      <x:c r="O6" s="1" t="n">
        <x:v>0</x:v>
      </x:c>
      <x:c r="P6" s="1" t="n">
        <x:v>0</x:v>
      </x:c>
      <x:c r="Q6" s="1" t="str">
        <x:v>bb_pending_bounds_v1</x:v>
      </x:c>
      <x:c r="R6" s="1" t="str">
        <x:v>search_after_cache_before_cleanup_v1</x:v>
      </x:c>
      <x:c r="S6" s="1" t="str">
        <x:v>D:\C++\Branch&amp;Bound_charge\GeneratedResults\11part_TF=0.3_RDD=0.3.txt</x:v>
      </x:c>
      <x:c r="T6" s="1" t="str">
        <x:v>Journal article/BB_Basic/11part_TF=0.3_RDD=0.3_log_1.txt</x:v>
      </x:c>
    </x:row>
    <x:row r="7" ht="23" customHeight="1">
      <x:c r="A7" s="1" t="str">
        <x:v>11part_TF=0.3_RDD=0.6</x:v>
      </x:c>
      <x:c r="B7" s="1" t="n">
        <x:v>11</x:v>
      </x:c>
      <x:c r="C7" s="1" t="n">
        <x:v>0</x:v>
      </x:c>
      <x:c r="D7" s="1" t="n">
        <x:v>0.2</x:v>
      </x:c>
      <x:c r="E7" s="1" t="str">
        <x:v>OPTIMAL</x:v>
      </x:c>
      <x:c r="F7" s="1" t="n">
        <x:v>3600</x:v>
      </x:c>
      <x:c r="G7" s="1" t="n">
        <x:v>0.2358926</x:v>
      </x:c>
      <x:c r="H7" s="1" t="n">
        <x:v>0.2358926</x:v>
      </x:c>
      <x:c r="I7" s="1" t="n">
        <x:v>0.2397119</x:v>
      </x:c>
      <x:c r="J7" s="1" t="n">
        <x:v>38.42687039999999</x:v>
      </x:c>
      <x:c r="K7" s="1" t="n">
        <x:v>38.42687039999999</x:v>
      </x:c>
      <x:c r="L7" s="1" t="n">
        <x:v>0</x:v>
      </x:c>
      <x:c r="M7" s="1" t="n">
        <x:v>0</x:v>
      </x:c>
      <x:c r="N7" s="1" t="n">
        <x:v>13355</x:v>
      </x:c>
      <x:c r="O7" s="1" t="n">
        <x:v>0</x:v>
      </x:c>
      <x:c r="P7" s="1" t="n">
        <x:v>0</x:v>
      </x:c>
      <x:c r="Q7" s="1" t="str">
        <x:v>bb_pending_bounds_v1</x:v>
      </x:c>
      <x:c r="R7" s="1" t="str">
        <x:v>search_after_cache_before_cleanup_v1</x:v>
      </x:c>
      <x:c r="S7" s="1" t="str">
        <x:v>D:\C++\Branch&amp;Bound_charge\GeneratedResults\11part_TF=0.3_RDD=0.6.txt</x:v>
      </x:c>
      <x:c r="T7" s="1" t="str">
        <x:v>Journal article/BB_Basic/11part_TF=0.3_RDD=0.6_log_1.txt</x:v>
      </x:c>
    </x:row>
    <x:row r="8" ht="23" customHeight="1">
      <x:c r="A8" s="1" t="str">
        <x:v>11part_TF=0.6_RDD=0.3</x:v>
      </x:c>
      <x:c r="B8" s="1" t="n">
        <x:v>11</x:v>
      </x:c>
      <x:c r="C8" s="1" t="n">
        <x:v>0</x:v>
      </x:c>
      <x:c r="D8" s="1" t="n">
        <x:v>0.2</x:v>
      </x:c>
      <x:c r="E8" s="1" t="str">
        <x:v>OPTIMAL</x:v>
      </x:c>
      <x:c r="F8" s="1" t="n">
        <x:v>3600</x:v>
      </x:c>
      <x:c r="G8" s="1" t="n">
        <x:v>0.4369833</x:v>
      </x:c>
      <x:c r="H8" s="1" t="n">
        <x:v>0.4369833</x:v>
      </x:c>
      <x:c r="I8" s="1" t="n">
        <x:v>0.4411445</x:v>
      </x:c>
      <x:c r="J8" s="1" t="n">
        <x:v>108.34738560000001</x:v>
      </x:c>
      <x:c r="K8" s="1" t="n">
        <x:v>108.34738560000001</x:v>
      </x:c>
      <x:c r="L8" s="1" t="n">
        <x:v>0</x:v>
      </x:c>
      <x:c r="M8" s="1" t="n">
        <x:v>0</x:v>
      </x:c>
      <x:c r="N8" s="1" t="n">
        <x:v>18955</x:v>
      </x:c>
      <x:c r="O8" s="1" t="n">
        <x:v>0</x:v>
      </x:c>
      <x:c r="P8" s="1" t="n">
        <x:v>0</x:v>
      </x:c>
      <x:c r="Q8" s="1" t="str">
        <x:v>bb_pending_bounds_v1</x:v>
      </x:c>
      <x:c r="R8" s="1" t="str">
        <x:v>search_after_cache_before_cleanup_v1</x:v>
      </x:c>
      <x:c r="S8" s="1" t="str">
        <x:v>D:\C++\Branch&amp;Bound_charge\GeneratedResults\11part_TF=0.6_RDD=0.3.txt</x:v>
      </x:c>
      <x:c r="T8" s="1" t="str">
        <x:v>Journal article/BB_Basic/11part_TF=0.6_RDD=0.3_log_1.txt</x:v>
      </x:c>
    </x:row>
    <x:row r="9" ht="23" customHeight="1">
      <x:c r="A9" s="1" t="str">
        <x:v>11part_TF=0.6_RDD=0.6</x:v>
      </x:c>
      <x:c r="B9" s="1" t="n">
        <x:v>11</x:v>
      </x:c>
      <x:c r="C9" s="1" t="n">
        <x:v>0</x:v>
      </x:c>
      <x:c r="D9" s="1" t="n">
        <x:v>0.2</x:v>
      </x:c>
      <x:c r="E9" s="1" t="str">
        <x:v>OPTIMAL</x:v>
      </x:c>
      <x:c r="F9" s="1" t="n">
        <x:v>3600</x:v>
      </x:c>
      <x:c r="G9" s="1" t="n">
        <x:v>0.4437342</x:v>
      </x:c>
      <x:c r="H9" s="1" t="n">
        <x:v>0.4437342</x:v>
      </x:c>
      <x:c r="I9" s="1" t="n">
        <x:v>0.4494575</x:v>
      </x:c>
      <x:c r="J9" s="1" t="n">
        <x:v>110.60669119999997</x:v>
      </x:c>
      <x:c r="K9" s="1" t="n">
        <x:v>110.60669119999997</x:v>
      </x:c>
      <x:c r="L9" s="1" t="n">
        <x:v>0</x:v>
      </x:c>
      <x:c r="M9" s="1" t="n">
        <x:v>0</x:v>
      </x:c>
      <x:c r="N9" s="1" t="n">
        <x:v>22059</x:v>
      </x:c>
      <x:c r="O9" s="1" t="n">
        <x:v>0</x:v>
      </x:c>
      <x:c r="P9" s="1" t="n">
        <x:v>0</x:v>
      </x:c>
      <x:c r="Q9" s="1" t="str">
        <x:v>bb_pending_bounds_v1</x:v>
      </x:c>
      <x:c r="R9" s="1" t="str">
        <x:v>search_after_cache_before_cleanup_v1</x:v>
      </x:c>
      <x:c r="S9" s="1" t="str">
        <x:v>D:\C++\Branch&amp;Bound_charge\GeneratedResults\11part_TF=0.6_RDD=0.6.txt</x:v>
      </x:c>
      <x:c r="T9" s="1" t="str">
        <x:v>Journal article/BB_Basic/11part_TF=0.6_RDD=0.6_log_1.txt</x:v>
      </x:c>
    </x:row>
    <x:row r="10" ht="23" customHeight="1">
      <x:c r="A10" s="1" t="str">
        <x:v>12part_TF=0.3_RDD=0.3</x:v>
      </x:c>
      <x:c r="B10" s="1" t="n">
        <x:v>12</x:v>
      </x:c>
      <x:c r="C10" s="1" t="n">
        <x:v>0</x:v>
      </x:c>
      <x:c r="D10" s="1" t="n">
        <x:v>0.2</x:v>
      </x:c>
      <x:c r="E10" s="1" t="str">
        <x:v>OPTIMAL</x:v>
      </x:c>
      <x:c r="F10" s="1" t="n">
        <x:v>3600</x:v>
      </x:c>
      <x:c r="G10" s="1" t="n">
        <x:v>0.7146414</x:v>
      </x:c>
      <x:c r="H10" s="1" t="n">
        <x:v>0.7146414</x:v>
      </x:c>
      <x:c r="I10" s="1" t="n">
        <x:v>0.7310315</x:v>
      </x:c>
      <x:c r="J10" s="1" t="n">
        <x:v>33.652758399999996</x:v>
      </x:c>
      <x:c r="K10" s="1" t="n">
        <x:v>33.652758399999996</x:v>
      </x:c>
      <x:c r="L10" s="1" t="n">
        <x:v>0</x:v>
      </x:c>
      <x:c r="M10" s="1" t="n">
        <x:v>0</x:v>
      </x:c>
      <x:c r="N10" s="1" t="n">
        <x:v>48228</x:v>
      </x:c>
      <x:c r="O10" s="1" t="n">
        <x:v>0</x:v>
      </x:c>
      <x:c r="P10" s="1" t="n">
        <x:v>0</x:v>
      </x:c>
      <x:c r="Q10" s="1" t="str">
        <x:v>bb_pending_bounds_v1</x:v>
      </x:c>
      <x:c r="R10" s="1" t="str">
        <x:v>search_after_cache_before_cleanup_v1</x:v>
      </x:c>
      <x:c r="S10" s="1" t="str">
        <x:v>D:\C++\Branch&amp;Bound_charge\GeneratedResults\12part_TF=0.3_RDD=0.3.txt</x:v>
      </x:c>
      <x:c r="T10" s="1" t="str">
        <x:v>Journal article/BB_Basic/12part_TF=0.3_RDD=0.3_log_1.txt</x:v>
      </x:c>
    </x:row>
    <x:row r="11" ht="23" customHeight="1">
      <x:c r="A11" s="1" t="str">
        <x:v>12part_TF=0.3_RDD=0.6</x:v>
      </x:c>
      <x:c r="B11" s="1" t="n">
        <x:v>12</x:v>
      </x:c>
      <x:c r="C11" s="1" t="n">
        <x:v>0</x:v>
      </x:c>
      <x:c r="D11" s="1" t="n">
        <x:v>0.2</x:v>
      </x:c>
      <x:c r="E11" s="1" t="str">
        <x:v>OPTIMAL</x:v>
      </x:c>
      <x:c r="F11" s="1" t="n">
        <x:v>3600</x:v>
      </x:c>
      <x:c r="G11" s="1" t="n">
        <x:v>0.4613343</x:v>
      </x:c>
      <x:c r="H11" s="1" t="n">
        <x:v>0.4613343</x:v>
      </x:c>
      <x:c r="I11" s="1" t="n">
        <x:v>0.4707071</x:v>
      </x:c>
      <x:c r="J11" s="1" t="n">
        <x:v>41.50587840000001</x:v>
      </x:c>
      <x:c r="K11" s="1" t="n">
        <x:v>41.50587840000001</x:v>
      </x:c>
      <x:c r="L11" s="1" t="n">
        <x:v>0</x:v>
      </x:c>
      <x:c r="M11" s="1" t="n">
        <x:v>0</x:v>
      </x:c>
      <x:c r="N11" s="1" t="n">
        <x:v>30631</x:v>
      </x:c>
      <x:c r="O11" s="1" t="n">
        <x:v>0</x:v>
      </x:c>
      <x:c r="P11" s="1" t="n">
        <x:v>0</x:v>
      </x:c>
      <x:c r="Q11" s="1" t="str">
        <x:v>bb_pending_bounds_v1</x:v>
      </x:c>
      <x:c r="R11" s="1" t="str">
        <x:v>search_after_cache_before_cleanup_v1</x:v>
      </x:c>
      <x:c r="S11" s="1" t="str">
        <x:v>D:\C++\Branch&amp;Bound_charge\GeneratedResults\12part_TF=0.3_RDD=0.6.txt</x:v>
      </x:c>
      <x:c r="T11" s="1" t="str">
        <x:v>Journal article/BB_Basic/12part_TF=0.3_RDD=0.6_log_1.txt</x:v>
      </x:c>
    </x:row>
    <x:row r="12" ht="23" customHeight="1">
      <x:c r="A12" s="1" t="str">
        <x:v>12part_TF=0.6_RDD=0.3</x:v>
      </x:c>
      <x:c r="B12" s="1" t="n">
        <x:v>12</x:v>
      </x:c>
      <x:c r="C12" s="1" t="n">
        <x:v>0</x:v>
      </x:c>
      <x:c r="D12" s="1" t="n">
        <x:v>0.2</x:v>
      </x:c>
      <x:c r="E12" s="1" t="str">
        <x:v>OPTIMAL</x:v>
      </x:c>
      <x:c r="F12" s="1" t="n">
        <x:v>3600</x:v>
      </x:c>
      <x:c r="G12" s="1" t="n">
        <x:v>0.7265061</x:v>
      </x:c>
      <x:c r="H12" s="1" t="n">
        <x:v>0.7265061</x:v>
      </x:c>
      <x:c r="I12" s="1" t="n">
        <x:v>0.7392915</x:v>
      </x:c>
      <x:c r="J12" s="1" t="n">
        <x:v>129.25823359999998</x:v>
      </x:c>
      <x:c r="K12" s="1" t="n">
        <x:v>129.25823359999998</x:v>
      </x:c>
      <x:c r="L12" s="1" t="n">
        <x:v>0</x:v>
      </x:c>
      <x:c r="M12" s="1" t="n">
        <x:v>0</x:v>
      </x:c>
      <x:c r="N12" s="1" t="n">
        <x:v>46360</x:v>
      </x:c>
      <x:c r="O12" s="1" t="n">
        <x:v>0</x:v>
      </x:c>
      <x:c r="P12" s="1" t="n">
        <x:v>0</x:v>
      </x:c>
      <x:c r="Q12" s="1" t="str">
        <x:v>bb_pending_bounds_v1</x:v>
      </x:c>
      <x:c r="R12" s="1" t="str">
        <x:v>search_after_cache_before_cleanup_v1</x:v>
      </x:c>
      <x:c r="S12" s="1" t="str">
        <x:v>D:\C++\Branch&amp;Bound_charge\GeneratedResults\12part_TF=0.6_RDD=0.3.txt</x:v>
      </x:c>
      <x:c r="T12" s="1" t="str">
        <x:v>Journal article/BB_Basic/12part_TF=0.6_RDD=0.3_log_1.txt</x:v>
      </x:c>
    </x:row>
    <x:row r="13" ht="23" customHeight="1">
      <x:c r="A13" s="1" t="str">
        <x:v>12part_TF=0.6_RDD=0.6</x:v>
      </x:c>
      <x:c r="B13" s="1" t="n">
        <x:v>12</x:v>
      </x:c>
      <x:c r="C13" s="1" t="n">
        <x:v>0</x:v>
      </x:c>
      <x:c r="D13" s="1" t="n">
        <x:v>0.2</x:v>
      </x:c>
      <x:c r="E13" s="1" t="str">
        <x:v>OPTIMAL</x:v>
      </x:c>
      <x:c r="F13" s="1" t="n">
        <x:v>3600</x:v>
      </x:c>
      <x:c r="G13" s="1" t="n">
        <x:v>0.783675</x:v>
      </x:c>
      <x:c r="H13" s="1" t="n">
        <x:v>0.783675</x:v>
      </x:c>
      <x:c r="I13" s="1" t="n">
        <x:v>0.7963425</x:v>
      </x:c>
      <x:c r="J13" s="1" t="n">
        <x:v>139.0843456</x:v>
      </x:c>
      <x:c r="K13" s="1" t="n">
        <x:v>139.0843456</x:v>
      </x:c>
      <x:c r="L13" s="1" t="n">
        <x:v>0</x:v>
      </x:c>
      <x:c r="M13" s="1" t="n">
        <x:v>0</x:v>
      </x:c>
      <x:c r="N13" s="1" t="n">
        <x:v>51580</x:v>
      </x:c>
      <x:c r="O13" s="1" t="n">
        <x:v>0</x:v>
      </x:c>
      <x:c r="P13" s="1" t="n">
        <x:v>0</x:v>
      </x:c>
      <x:c r="Q13" s="1" t="str">
        <x:v>bb_pending_bounds_v1</x:v>
      </x:c>
      <x:c r="R13" s="1" t="str">
        <x:v>search_after_cache_before_cleanup_v1</x:v>
      </x:c>
      <x:c r="S13" s="1" t="str">
        <x:v>D:\C++\Branch&amp;Bound_charge\GeneratedResults\12part_TF=0.6_RDD=0.6.txt</x:v>
      </x:c>
      <x:c r="T13" s="1" t="str">
        <x:v>Journal article/BB_Basic/12part_TF=0.6_RDD=0.6_log_1.txt</x:v>
      </x:c>
    </x:row>
    <x:row r="14" ht="23" customHeight="1">
      <x:c r="A14" s="1" t="str">
        <x:v>13part_TF=0.3_RDD=0.3</x:v>
      </x:c>
      <x:c r="B14" s="1" t="n">
        <x:v>13</x:v>
      </x:c>
      <x:c r="C14" s="1" t="n">
        <x:v>0</x:v>
      </x:c>
      <x:c r="D14" s="1" t="n">
        <x:v>0.2</x:v>
      </x:c>
      <x:c r="E14" s="1" t="str">
        <x:v>OPTIMAL</x:v>
      </x:c>
      <x:c r="F14" s="1" t="n">
        <x:v>3600</x:v>
      </x:c>
      <x:c r="G14" s="1" t="n">
        <x:v>2.2829728</x:v>
      </x:c>
      <x:c r="H14" s="1" t="n">
        <x:v>2.2829728</x:v>
      </x:c>
      <x:c r="I14" s="1" t="n">
        <x:v>2.3398674</x:v>
      </x:c>
      <x:c r="J14" s="1" t="n">
        <x:v>34.892374399999994</x:v>
      </x:c>
      <x:c r="K14" s="1" t="n">
        <x:v>34.892374399999994</x:v>
      </x:c>
      <x:c r="L14" s="1" t="n">
        <x:v>0</x:v>
      </x:c>
      <x:c r="M14" s="1" t="n">
        <x:v>0</x:v>
      </x:c>
      <x:c r="N14" s="1" t="n">
        <x:v>157496</x:v>
      </x:c>
      <x:c r="O14" s="1" t="n">
        <x:v>0</x:v>
      </x:c>
      <x:c r="P14" s="1" t="n">
        <x:v>0</x:v>
      </x:c>
      <x:c r="Q14" s="1" t="str">
        <x:v>bb_pending_bounds_v1</x:v>
      </x:c>
      <x:c r="R14" s="1" t="str">
        <x:v>search_after_cache_before_cleanup_v1</x:v>
      </x:c>
      <x:c r="S14" s="1" t="str">
        <x:v>D:\C++\Branch&amp;Bound_charge\GeneratedResults\13part_TF=0.3_RDD=0.3.txt</x:v>
      </x:c>
      <x:c r="T14" s="1" t="str">
        <x:v>Journal article/BB_Basic/13part_TF=0.3_RDD=0.3_log_1.txt</x:v>
      </x:c>
    </x:row>
    <x:row r="15" ht="23" customHeight="1">
      <x:c r="A15" s="1" t="str">
        <x:v>13part_TF=0.3_RDD=0.6</x:v>
      </x:c>
      <x:c r="B15" s="1" t="n">
        <x:v>13</x:v>
      </x:c>
      <x:c r="C15" s="1" t="n">
        <x:v>0</x:v>
      </x:c>
      <x:c r="D15" s="1" t="n">
        <x:v>0.2</x:v>
      </x:c>
      <x:c r="E15" s="1" t="str">
        <x:v>OPTIMAL</x:v>
      </x:c>
      <x:c r="F15" s="1" t="n">
        <x:v>3600</x:v>
      </x:c>
      <x:c r="G15" s="1" t="n">
        <x:v>1.5784188</x:v>
      </x:c>
      <x:c r="H15" s="1" t="n">
        <x:v>1.5784188</x:v>
      </x:c>
      <x:c r="I15" s="1" t="n">
        <x:v>1.6207213</x:v>
      </x:c>
      <x:c r="J15" s="1" t="n">
        <x:v>42.13547839999999</x:v>
      </x:c>
      <x:c r="K15" s="1" t="n">
        <x:v>42.13547839999999</x:v>
      </x:c>
      <x:c r="L15" s="1" t="n">
        <x:v>0</x:v>
      </x:c>
      <x:c r="M15" s="1" t="n">
        <x:v>0</x:v>
      </x:c>
      <x:c r="N15" s="1" t="n">
        <x:v>106653</x:v>
      </x:c>
      <x:c r="O15" s="1" t="n">
        <x:v>0</x:v>
      </x:c>
      <x:c r="P15" s="1" t="n">
        <x:v>0</x:v>
      </x:c>
      <x:c r="Q15" s="1" t="str">
        <x:v>bb_pending_bounds_v1</x:v>
      </x:c>
      <x:c r="R15" s="1" t="str">
        <x:v>search_after_cache_before_cleanup_v1</x:v>
      </x:c>
      <x:c r="S15" s="1" t="str">
        <x:v>D:\C++\Branch&amp;Bound_charge\GeneratedResults\13part_TF=0.3_RDD=0.6.txt</x:v>
      </x:c>
      <x:c r="T15" s="1" t="str">
        <x:v>Journal article/BB_Basic/13part_TF=0.3_RDD=0.6_log_1.txt</x:v>
      </x:c>
    </x:row>
    <x:row r="16" ht="23" customHeight="1">
      <x:c r="A16" s="1" t="str">
        <x:v>13part_TF=0.6_RDD=0.3</x:v>
      </x:c>
      <x:c r="B16" s="1" t="n">
        <x:v>13</x:v>
      </x:c>
      <x:c r="C16" s="1" t="n">
        <x:v>0</x:v>
      </x:c>
      <x:c r="D16" s="1" t="n">
        <x:v>0.2</x:v>
      </x:c>
      <x:c r="E16" s="1" t="str">
        <x:v>OPTIMAL</x:v>
      </x:c>
      <x:c r="F16" s="1" t="n">
        <x:v>3600</x:v>
      </x:c>
      <x:c r="G16" s="1" t="n">
        <x:v>2.0723021</x:v>
      </x:c>
      <x:c r="H16" s="1" t="n">
        <x:v>2.0723021</x:v>
      </x:c>
      <x:c r="I16" s="1" t="n">
        <x:v>2.1195069</x:v>
      </x:c>
      <x:c r="J16" s="1" t="n">
        <x:v>142.0060896</x:v>
      </x:c>
      <x:c r="K16" s="1" t="n">
        <x:v>142.0060896</x:v>
      </x:c>
      <x:c r="L16" s="1" t="n">
        <x:v>0</x:v>
      </x:c>
      <x:c r="M16" s="1" t="n">
        <x:v>0</x:v>
      </x:c>
      <x:c r="N16" s="1" t="n">
        <x:v>128952</x:v>
      </x:c>
      <x:c r="O16" s="1" t="n">
        <x:v>0</x:v>
      </x:c>
      <x:c r="P16" s="1" t="n">
        <x:v>0</x:v>
      </x:c>
      <x:c r="Q16" s="1" t="str">
        <x:v>bb_pending_bounds_v1</x:v>
      </x:c>
      <x:c r="R16" s="1" t="str">
        <x:v>search_after_cache_before_cleanup_v1</x:v>
      </x:c>
      <x:c r="S16" s="1" t="str">
        <x:v>D:\C++\Branch&amp;Bound_charge\GeneratedResults\13part_TF=0.6_RDD=0.3.txt</x:v>
      </x:c>
      <x:c r="T16" s="1" t="str">
        <x:v>Journal article/BB_Basic/13part_TF=0.6_RDD=0.3_log_1.txt</x:v>
      </x:c>
    </x:row>
    <x:row r="17" ht="23" customHeight="1">
      <x:c r="A17" s="1" t="str">
        <x:v>13part_TF=0.6_RDD=0.6</x:v>
      </x:c>
      <x:c r="B17" s="1" t="n">
        <x:v>13</x:v>
      </x:c>
      <x:c r="C17" s="1" t="n">
        <x:v>0</x:v>
      </x:c>
      <x:c r="D17" s="1" t="n">
        <x:v>0.2</x:v>
      </x:c>
      <x:c r="E17" s="1" t="str">
        <x:v>OPTIMAL</x:v>
      </x:c>
      <x:c r="F17" s="1" t="n">
        <x:v>3600</x:v>
      </x:c>
      <x:c r="G17" s="1" t="n">
        <x:v>2.3576595</x:v>
      </x:c>
      <x:c r="H17" s="1" t="n">
        <x:v>2.3576595</x:v>
      </x:c>
      <x:c r="I17" s="1" t="n">
        <x:v>2.414441</x:v>
      </x:c>
      <x:c r="J17" s="1" t="n">
        <x:v>168.723312</x:v>
      </x:c>
      <x:c r="K17" s="1" t="n">
        <x:v>168.723312</x:v>
      </x:c>
      <x:c r="L17" s="1" t="n">
        <x:v>0</x:v>
      </x:c>
      <x:c r="M17" s="1" t="n">
        <x:v>0</x:v>
      </x:c>
      <x:c r="N17" s="1" t="n">
        <x:v>170681</x:v>
      </x:c>
      <x:c r="O17" s="1" t="n">
        <x:v>0</x:v>
      </x:c>
      <x:c r="P17" s="1" t="n">
        <x:v>0</x:v>
      </x:c>
      <x:c r="Q17" s="1" t="str">
        <x:v>bb_pending_bounds_v1</x:v>
      </x:c>
      <x:c r="R17" s="1" t="str">
        <x:v>search_after_cache_before_cleanup_v1</x:v>
      </x:c>
      <x:c r="S17" s="1" t="str">
        <x:v>D:\C++\Branch&amp;Bound_charge\GeneratedResults\13part_TF=0.6_RDD=0.6.txt</x:v>
      </x:c>
      <x:c r="T17" s="1" t="str">
        <x:v>Journal article/BB_Basic/13part_TF=0.6_RDD=0.6_log_1.txt</x:v>
      </x:c>
    </x:row>
    <x:row r="18" ht="23" customHeight="1">
      <x:c r="A18" s="1" t="str">
        <x:v>14part_TF=0.3_RDD=0.3</x:v>
      </x:c>
      <x:c r="B18" s="1" t="n">
        <x:v>14</x:v>
      </x:c>
      <x:c r="C18" s="1" t="n">
        <x:v>0</x:v>
      </x:c>
      <x:c r="D18" s="1" t="n">
        <x:v>0.2</x:v>
      </x:c>
      <x:c r="E18" s="1" t="str">
        <x:v>OPTIMAL</x:v>
      </x:c>
      <x:c r="F18" s="1" t="n">
        <x:v>3600</x:v>
      </x:c>
      <x:c r="G18" s="1" t="n">
        <x:v>10.6501864</x:v>
      </x:c>
      <x:c r="H18" s="1" t="n">
        <x:v>10.6501864</x:v>
      </x:c>
      <x:c r="I18" s="1" t="n">
        <x:v>10.9034924</x:v>
      </x:c>
      <x:c r="J18" s="1" t="n">
        <x:v>36.43412479999999</x:v>
      </x:c>
      <x:c r="K18" s="1" t="n">
        <x:v>36.43412479999999</x:v>
      </x:c>
      <x:c r="L18" s="1" t="n">
        <x:v>0</x:v>
      </x:c>
      <x:c r="M18" s="1" t="n">
        <x:v>0</x:v>
      </x:c>
      <x:c r="N18" s="1" t="n">
        <x:v>930666</x:v>
      </x:c>
      <x:c r="O18" s="1" t="n">
        <x:v>0</x:v>
      </x:c>
      <x:c r="P18" s="1" t="n">
        <x:v>0</x:v>
      </x:c>
      <x:c r="Q18" s="1" t="str">
        <x:v>bb_pending_bounds_v1</x:v>
      </x:c>
      <x:c r="R18" s="1" t="str">
        <x:v>search_after_cache_before_cleanup_v1</x:v>
      </x:c>
      <x:c r="S18" s="1" t="str">
        <x:v>D:\C++\Branch&amp;Bound_charge\GeneratedResults\14part_TF=0.3_RDD=0.3.txt</x:v>
      </x:c>
      <x:c r="T18" s="1" t="str">
        <x:v>Journal article/BB_Basic/14part_TF=0.3_RDD=0.3_log_1.txt</x:v>
      </x:c>
    </x:row>
    <x:row r="19" ht="23" customHeight="1">
      <x:c r="A19" s="1" t="str">
        <x:v>14part_TF=0.3_RDD=0.6</x:v>
      </x:c>
      <x:c r="B19" s="1" t="n">
        <x:v>14</x:v>
      </x:c>
      <x:c r="C19" s="1" t="n">
        <x:v>0</x:v>
      </x:c>
      <x:c r="D19" s="1" t="n">
        <x:v>0.2</x:v>
      </x:c>
      <x:c r="E19" s="1" t="str">
        <x:v>OPTIMAL</x:v>
      </x:c>
      <x:c r="F19" s="1" t="n">
        <x:v>3600</x:v>
      </x:c>
      <x:c r="G19" s="1" t="n">
        <x:v>4.9009587</x:v>
      </x:c>
      <x:c r="H19" s="1" t="n">
        <x:v>4.9009587</x:v>
      </x:c>
      <x:c r="I19" s="1" t="n">
        <x:v>5.0303068</x:v>
      </x:c>
      <x:c r="J19" s="1" t="n">
        <x:v>42.90594239999999</x:v>
      </x:c>
      <x:c r="K19" s="1" t="n">
        <x:v>42.90594239999999</x:v>
      </x:c>
      <x:c r="L19" s="1" t="n">
        <x:v>0</x:v>
      </x:c>
      <x:c r="M19" s="1" t="n">
        <x:v>0</x:v>
      </x:c>
      <x:c r="N19" s="1" t="n">
        <x:v>371938</x:v>
      </x:c>
      <x:c r="O19" s="1" t="n">
        <x:v>0</x:v>
      </x:c>
      <x:c r="P19" s="1" t="n">
        <x:v>0</x:v>
      </x:c>
      <x:c r="Q19" s="1" t="str">
        <x:v>bb_pending_bounds_v1</x:v>
      </x:c>
      <x:c r="R19" s="1" t="str">
        <x:v>search_after_cache_before_cleanup_v1</x:v>
      </x:c>
      <x:c r="S19" s="1" t="str">
        <x:v>D:\C++\Branch&amp;Bound_charge\GeneratedResults\14part_TF=0.3_RDD=0.6.txt</x:v>
      </x:c>
      <x:c r="T19" s="1" t="str">
        <x:v>Journal article/BB_Basic/14part_TF=0.3_RDD=0.6_log_1.txt</x:v>
      </x:c>
    </x:row>
    <x:row r="20" ht="23" customHeight="1">
      <x:c r="A20" s="1" t="str">
        <x:v>14part_TF=0.6_RDD=0.3</x:v>
      </x:c>
      <x:c r="B20" s="1" t="n">
        <x:v>14</x:v>
      </x:c>
      <x:c r="C20" s="1" t="n">
        <x:v>0</x:v>
      </x:c>
      <x:c r="D20" s="1" t="n">
        <x:v>0.2</x:v>
      </x:c>
      <x:c r="E20" s="1" t="str">
        <x:v>OPTIMAL</x:v>
      </x:c>
      <x:c r="F20" s="1" t="n">
        <x:v>3600</x:v>
      </x:c>
      <x:c r="G20" s="1" t="n">
        <x:v>4.8548205</x:v>
      </x:c>
      <x:c r="H20" s="1" t="n">
        <x:v>4.8548205</x:v>
      </x:c>
      <x:c r="I20" s="1" t="n">
        <x:v>4.9905142</x:v>
      </x:c>
      <x:c r="J20" s="1" t="n">
        <x:v>150.22820159999998</x:v>
      </x:c>
      <x:c r="K20" s="1" t="n">
        <x:v>150.22820159999998</x:v>
      </x:c>
      <x:c r="L20" s="1" t="n">
        <x:v>0</x:v>
      </x:c>
      <x:c r="M20" s="1" t="n">
        <x:v>0</x:v>
      </x:c>
      <x:c r="N20" s="1" t="n">
        <x:v>366430</x:v>
      </x:c>
      <x:c r="O20" s="1" t="n">
        <x:v>0</x:v>
      </x:c>
      <x:c r="P20" s="1" t="n">
        <x:v>0</x:v>
      </x:c>
      <x:c r="Q20" s="1" t="str">
        <x:v>bb_pending_bounds_v1</x:v>
      </x:c>
      <x:c r="R20" s="1" t="str">
        <x:v>search_after_cache_before_cleanup_v1</x:v>
      </x:c>
      <x:c r="S20" s="1" t="str">
        <x:v>D:\C++\Branch&amp;Bound_charge\GeneratedResults\14part_TF=0.6_RDD=0.3.txt</x:v>
      </x:c>
      <x:c r="T20" s="1" t="str">
        <x:v>Journal article/BB_Basic/14part_TF=0.6_RDD=0.3_log_1.txt</x:v>
      </x:c>
    </x:row>
    <x:row r="21" ht="23" customHeight="1">
      <x:c r="A21" s="1" t="str">
        <x:v>14part_TF=0.6_RDD=0.6</x:v>
      </x:c>
      <x:c r="B21" s="1" t="n">
        <x:v>14</x:v>
      </x:c>
      <x:c r="C21" s="1" t="n">
        <x:v>0</x:v>
      </x:c>
      <x:c r="D21" s="1" t="n">
        <x:v>0.2</x:v>
      </x:c>
      <x:c r="E21" s="1" t="str">
        <x:v>OPTIMAL</x:v>
      </x:c>
      <x:c r="F21" s="1" t="n">
        <x:v>3600</x:v>
      </x:c>
      <x:c r="G21" s="1" t="n">
        <x:v>5.2876946</x:v>
      </x:c>
      <x:c r="H21" s="1" t="n">
        <x:v>5.2876946</x:v>
      </x:c>
      <x:c r="I21" s="1" t="n">
        <x:v>5.4027409</x:v>
      </x:c>
      <x:c r="J21" s="1" t="n">
        <x:v>156.5218112</x:v>
      </x:c>
      <x:c r="K21" s="1" t="n">
        <x:v>156.5218112</x:v>
      </x:c>
      <x:c r="L21" s="1" t="n">
        <x:v>0</x:v>
      </x:c>
      <x:c r="M21" s="1" t="n">
        <x:v>0</x:v>
      </x:c>
      <x:c r="N21" s="1" t="n">
        <x:v>409152</x:v>
      </x:c>
      <x:c r="O21" s="1" t="n">
        <x:v>0</x:v>
      </x:c>
      <x:c r="P21" s="1" t="n">
        <x:v>0</x:v>
      </x:c>
      <x:c r="Q21" s="1" t="str">
        <x:v>bb_pending_bounds_v1</x:v>
      </x:c>
      <x:c r="R21" s="1" t="str">
        <x:v>search_after_cache_before_cleanup_v1</x:v>
      </x:c>
      <x:c r="S21" s="1" t="str">
        <x:v>D:\C++\Branch&amp;Bound_charge\GeneratedResults\14part_TF=0.6_RDD=0.6.txt</x:v>
      </x:c>
      <x:c r="T21" s="1" t="str">
        <x:v>Journal article/BB_Basic/14part_TF=0.6_RDD=0.6_log_1.txt</x:v>
      </x:c>
    </x:row>
    <x:row r="22" ht="23" customHeight="1">
      <x:c r="A22" s="1" t="str">
        <x:v>15part_TF=0.3_RDD=0.3</x:v>
      </x:c>
      <x:c r="B22" s="1" t="n">
        <x:v>15</x:v>
      </x:c>
      <x:c r="C22" s="1" t="n">
        <x:v>0</x:v>
      </x:c>
      <x:c r="D22" s="1" t="n">
        <x:v>0.2</x:v>
      </x:c>
      <x:c r="E22" s="1" t="str">
        <x:v>OPTIMAL</x:v>
      </x:c>
      <x:c r="F22" s="1" t="n">
        <x:v>3600</x:v>
      </x:c>
      <x:c r="G22" s="1" t="n">
        <x:v>46.96398</x:v>
      </x:c>
      <x:c r="H22" s="1" t="n">
        <x:v>46.96398</x:v>
      </x:c>
      <x:c r="I22" s="1" t="n">
        <x:v>47.9026694</x:v>
      </x:c>
      <x:c r="J22" s="1" t="n">
        <x:v>32.30592192</x:v>
      </x:c>
      <x:c r="K22" s="1" t="n">
        <x:v>32.30592192</x:v>
      </x:c>
      <x:c r="L22" s="1" t="n">
        <x:v>0</x:v>
      </x:c>
      <x:c r="M22" s="1" t="n">
        <x:v>0</x:v>
      </x:c>
      <x:c r="N22" s="1" t="n">
        <x:v>4098388</x:v>
      </x:c>
      <x:c r="O22" s="1" t="n">
        <x:v>0</x:v>
      </x:c>
      <x:c r="P22" s="1" t="n">
        <x:v>0</x:v>
      </x:c>
      <x:c r="Q22" s="1" t="str">
        <x:v>bb_pending_bounds_v1</x:v>
      </x:c>
      <x:c r="R22" s="1" t="str">
        <x:v>search_after_cache_before_cleanup_v1</x:v>
      </x:c>
      <x:c r="S22" s="1" t="str">
        <x:v>D:\C++\Branch&amp;Bound_charge\GeneratedResults\15part_TF=0.3_RDD=0.3.txt</x:v>
      </x:c>
      <x:c r="T22" s="1" t="str">
        <x:v>Journal article/BB_Basic/15part_TF=0.3_RDD=0.3_log_1.txt</x:v>
      </x:c>
    </x:row>
    <x:row r="23" ht="23" customHeight="1">
      <x:c r="A23" s="1" t="str">
        <x:v>15part_TF=0.3_RDD=0.6</x:v>
      </x:c>
      <x:c r="B23" s="1" t="n">
        <x:v>15</x:v>
      </x:c>
      <x:c r="C23" s="1" t="n">
        <x:v>0</x:v>
      </x:c>
      <x:c r="D23" s="1" t="n">
        <x:v>0.2</x:v>
      </x:c>
      <x:c r="E23" s="1" t="str">
        <x:v>OPTIMAL</x:v>
      </x:c>
      <x:c r="F23" s="1" t="n">
        <x:v>3600</x:v>
      </x:c>
      <x:c r="G23" s="1" t="n">
        <x:v>21.8570798</x:v>
      </x:c>
      <x:c r="H23" s="1" t="n">
        <x:v>21.8570798</x:v>
      </x:c>
      <x:c r="I23" s="1" t="n">
        <x:v>22.4329558</x:v>
      </x:c>
      <x:c r="J23" s="1" t="n">
        <x:v>40.00592191999999</x:v>
      </x:c>
      <x:c r="K23" s="1" t="n">
        <x:v>40.00592191999999</x:v>
      </x:c>
      <x:c r="L23" s="1" t="n">
        <x:v>0</x:v>
      </x:c>
      <x:c r="M23" s="1" t="n">
        <x:v>0</x:v>
      </x:c>
      <x:c r="N23" s="1" t="n">
        <x:v>1733768</x:v>
      </x:c>
      <x:c r="O23" s="1" t="n">
        <x:v>0</x:v>
      </x:c>
      <x:c r="P23" s="1" t="n">
        <x:v>0</x:v>
      </x:c>
      <x:c r="Q23" s="1" t="str">
        <x:v>bb_pending_bounds_v1</x:v>
      </x:c>
      <x:c r="R23" s="1" t="str">
        <x:v>search_after_cache_before_cleanup_v1</x:v>
      </x:c>
      <x:c r="S23" s="1" t="str">
        <x:v>D:\C++\Branch&amp;Bound_charge\GeneratedResults\15part_TF=0.3_RDD=0.6.txt</x:v>
      </x:c>
      <x:c r="T23" s="1" t="str">
        <x:v>Journal article/BB_Basic/15part_TF=0.3_RDD=0.6_log_1.txt</x:v>
      </x:c>
    </x:row>
    <x:row r="24" ht="23" customHeight="1">
      <x:c r="A24" s="1" t="str">
        <x:v>15part_TF=0.6_RDD=0.3</x:v>
      </x:c>
      <x:c r="B24" s="1" t="n">
        <x:v>15</x:v>
      </x:c>
      <x:c r="C24" s="1" t="n">
        <x:v>0</x:v>
      </x:c>
      <x:c r="D24" s="1" t="n">
        <x:v>0.2</x:v>
      </x:c>
      <x:c r="E24" s="1" t="str">
        <x:v>OPTIMAL</x:v>
      </x:c>
      <x:c r="F24" s="1" t="n">
        <x:v>3600</x:v>
      </x:c>
      <x:c r="G24" s="1" t="n">
        <x:v>7.216066</x:v>
      </x:c>
      <x:c r="H24" s="1" t="n">
        <x:v>7.216066</x:v>
      </x:c>
      <x:c r="I24" s="1" t="n">
        <x:v>7.4335996</x:v>
      </x:c>
      <x:c r="J24" s="1" t="n">
        <x:v>129.83038144</x:v>
      </x:c>
      <x:c r="K24" s="1" t="n">
        <x:v>129.83038144</x:v>
      </x:c>
      <x:c r="L24" s="1" t="n">
        <x:v>0</x:v>
      </x:c>
      <x:c r="M24" s="1" t="n">
        <x:v>0</x:v>
      </x:c>
      <x:c r="N24" s="1" t="n">
        <x:v>549634</x:v>
      </x:c>
      <x:c r="O24" s="1" t="n">
        <x:v>0</x:v>
      </x:c>
      <x:c r="P24" s="1" t="n">
        <x:v>0</x:v>
      </x:c>
      <x:c r="Q24" s="1" t="str">
        <x:v>bb_pending_bounds_v1</x:v>
      </x:c>
      <x:c r="R24" s="1" t="str">
        <x:v>search_after_cache_before_cleanup_v1</x:v>
      </x:c>
      <x:c r="S24" s="1" t="str">
        <x:v>D:\C++\Branch&amp;Bound_charge\GeneratedResults\15part_TF=0.6_RDD=0.3.txt</x:v>
      </x:c>
      <x:c r="T24" s="1" t="str">
        <x:v>Journal article/BB_Basic/15part_TF=0.6_RDD=0.3_log_1.txt</x:v>
      </x:c>
    </x:row>
    <x:row r="25" ht="23" customHeight="1">
      <x:c r="A25" s="1" t="str">
        <x:v>15part_TF=0.6_RDD=0.6</x:v>
      </x:c>
      <x:c r="B25" s="1" t="n">
        <x:v>15</x:v>
      </x:c>
      <x:c r="C25" s="1" t="n">
        <x:v>0</x:v>
      </x:c>
      <x:c r="D25" s="1" t="n">
        <x:v>0.2</x:v>
      </x:c>
      <x:c r="E25" s="1" t="str">
        <x:v>OPTIMAL</x:v>
      </x:c>
      <x:c r="F25" s="1" t="n">
        <x:v>3600</x:v>
      </x:c>
      <x:c r="G25" s="1" t="n">
        <x:v>7.2704082</x:v>
      </x:c>
      <x:c r="H25" s="1" t="n">
        <x:v>7.2704082</x:v>
      </x:c>
      <x:c r="I25" s="1" t="n">
        <x:v>7.4316776</x:v>
      </x:c>
      <x:c r="J25" s="1" t="n">
        <x:v>139.06138944000003</x:v>
      </x:c>
      <x:c r="K25" s="1" t="n">
        <x:v>139.06138944000003</x:v>
      </x:c>
      <x:c r="L25" s="1" t="n">
        <x:v>0</x:v>
      </x:c>
      <x:c r="M25" s="1" t="n">
        <x:v>0</x:v>
      </x:c>
      <x:c r="N25" s="1" t="n">
        <x:v>522258</x:v>
      </x:c>
      <x:c r="O25" s="1" t="n">
        <x:v>0</x:v>
      </x:c>
      <x:c r="P25" s="1" t="n">
        <x:v>0</x:v>
      </x:c>
      <x:c r="Q25" s="1" t="str">
        <x:v>bb_pending_bounds_v1</x:v>
      </x:c>
      <x:c r="R25" s="1" t="str">
        <x:v>search_after_cache_before_cleanup_v1</x:v>
      </x:c>
      <x:c r="S25" s="1" t="str">
        <x:v>D:\C++\Branch&amp;Bound_charge\GeneratedResults\15part_TF=0.6_RDD=0.6.txt</x:v>
      </x:c>
      <x:c r="T25" s="1" t="str">
        <x:v>Journal article/BB_Basic/15part_TF=0.6_RDD=0.6_log_1.txt</x:v>
      </x:c>
    </x:row>
    <x:row r="26" ht="23" customHeight="1">
      <x:c r="A26" s="1" t="str">
        <x:v>16part_TF=0.3_RDD=0.3</x:v>
      </x:c>
      <x:c r="B26" s="1" t="n">
        <x:v>16</x:v>
      </x:c>
      <x:c r="C26" s="1" t="n">
        <x:v>0</x:v>
      </x:c>
      <x:c r="D26" s="1" t="n">
        <x:v>0.2</x:v>
      </x:c>
      <x:c r="E26" s="1" t="str">
        <x:v>OPTIMAL</x:v>
      </x:c>
      <x:c r="F26" s="1" t="n">
        <x:v>3600</x:v>
      </x:c>
      <x:c r="G26" s="1" t="n">
        <x:v>103.6796436</x:v>
      </x:c>
      <x:c r="H26" s="1" t="n">
        <x:v>103.6796436</x:v>
      </x:c>
      <x:c r="I26" s="1" t="n">
        <x:v>106.000223</x:v>
      </x:c>
      <x:c r="J26" s="1" t="n">
        <x:v>66.03152640000002</x:v>
      </x:c>
      <x:c r="K26" s="1" t="n">
        <x:v>66.03152640000002</x:v>
      </x:c>
      <x:c r="L26" s="1" t="n">
        <x:v>0</x:v>
      </x:c>
      <x:c r="M26" s="1" t="n">
        <x:v>0</x:v>
      </x:c>
      <x:c r="N26" s="1" t="n">
        <x:v>8759197</x:v>
      </x:c>
      <x:c r="O26" s="1" t="n">
        <x:v>0</x:v>
      </x:c>
      <x:c r="P26" s="1" t="n">
        <x:v>0</x:v>
      </x:c>
      <x:c r="Q26" s="1" t="str">
        <x:v>bb_pending_bounds_v1</x:v>
      </x:c>
      <x:c r="R26" s="1" t="str">
        <x:v>search_after_cache_before_cleanup_v1</x:v>
      </x:c>
      <x:c r="S26" s="1" t="str">
        <x:v>D:\C++\Branch&amp;Bound_charge\GeneratedResults\16part_TF=0.3_RDD=0.3.txt</x:v>
      </x:c>
      <x:c r="T26" s="1" t="str">
        <x:v>Journal article/BB_Basic/16part_TF=0.3_RDD=0.3_log_1.txt</x:v>
      </x:c>
    </x:row>
    <x:row r="27" ht="23" customHeight="1">
      <x:c r="A27" s="1" t="str">
        <x:v>16part_TF=0.3_RDD=0.6</x:v>
      </x:c>
      <x:c r="B27" s="1" t="n">
        <x:v>16</x:v>
      </x:c>
      <x:c r="C27" s="1" t="n">
        <x:v>0</x:v>
      </x:c>
      <x:c r="D27" s="1" t="n">
        <x:v>0.2</x:v>
      </x:c>
      <x:c r="E27" s="1" t="str">
        <x:v>OPTIMAL</x:v>
      </x:c>
      <x:c r="F27" s="1" t="n">
        <x:v>3600</x:v>
      </x:c>
      <x:c r="G27" s="1" t="n">
        <x:v>56.1574394</x:v>
      </x:c>
      <x:c r="H27" s="1" t="n">
        <x:v>56.1574394</x:v>
      </x:c>
      <x:c r="I27" s="1" t="n">
        <x:v>57.4543687</x:v>
      </x:c>
      <x:c r="J27" s="1" t="n">
        <x:v>69.61226079999997</x:v>
      </x:c>
      <x:c r="K27" s="1" t="n">
        <x:v>69.61226079999997</x:v>
      </x:c>
      <x:c r="L27" s="1" t="n">
        <x:v>0</x:v>
      </x:c>
      <x:c r="M27" s="1" t="n">
        <x:v>0</x:v>
      </x:c>
      <x:c r="N27" s="1" t="n">
        <x:v>4481544</x:v>
      </x:c>
      <x:c r="O27" s="1" t="n">
        <x:v>0</x:v>
      </x:c>
      <x:c r="P27" s="1" t="n">
        <x:v>0</x:v>
      </x:c>
      <x:c r="Q27" s="1" t="str">
        <x:v>bb_pending_bounds_v1</x:v>
      </x:c>
      <x:c r="R27" s="1" t="str">
        <x:v>search_after_cache_before_cleanup_v1</x:v>
      </x:c>
      <x:c r="S27" s="1" t="str">
        <x:v>D:\C++\Branch&amp;Bound_charge\GeneratedResults\16part_TF=0.3_RDD=0.6.txt</x:v>
      </x:c>
      <x:c r="T27" s="1" t="str">
        <x:v>Journal article/BB_Basic/16part_TF=0.3_RDD=0.6_log_1.txt</x:v>
      </x:c>
    </x:row>
    <x:row r="28" ht="23" customHeight="1">
      <x:c r="A28" s="1" t="str">
        <x:v>16part_TF=0.6_RDD=0.3</x:v>
      </x:c>
      <x:c r="B28" s="1" t="n">
        <x:v>16</x:v>
      </x:c>
      <x:c r="C28" s="1" t="n">
        <x:v>0</x:v>
      </x:c>
      <x:c r="D28" s="1" t="n">
        <x:v>0.2</x:v>
      </x:c>
      <x:c r="E28" s="1" t="str">
        <x:v>OPTIMAL</x:v>
      </x:c>
      <x:c r="F28" s="1" t="n">
        <x:v>3600</x:v>
      </x:c>
      <x:c r="G28" s="1" t="n">
        <x:v>19.4426677</x:v>
      </x:c>
      <x:c r="H28" s="1" t="n">
        <x:v>19.4426677</x:v>
      </x:c>
      <x:c r="I28" s="1" t="n">
        <x:v>19.9218709</x:v>
      </x:c>
      <x:c r="J28" s="1" t="n">
        <x:v>206.55019519999993</x:v>
      </x:c>
      <x:c r="K28" s="1" t="n">
        <x:v>206.55019519999993</x:v>
      </x:c>
      <x:c r="L28" s="1" t="n">
        <x:v>0</x:v>
      </x:c>
      <x:c r="M28" s="1" t="n">
        <x:v>0</x:v>
      </x:c>
      <x:c r="N28" s="1" t="n">
        <x:v>1920227</x:v>
      </x:c>
      <x:c r="O28" s="1" t="n">
        <x:v>0</x:v>
      </x:c>
      <x:c r="P28" s="1" t="n">
        <x:v>0</x:v>
      </x:c>
      <x:c r="Q28" s="1" t="str">
        <x:v>bb_pending_bounds_v1</x:v>
      </x:c>
      <x:c r="R28" s="1" t="str">
        <x:v>search_after_cache_before_cleanup_v1</x:v>
      </x:c>
      <x:c r="S28" s="1" t="str">
        <x:v>D:\C++\Branch&amp;Bound_charge\GeneratedResults\16part_TF=0.6_RDD=0.3.txt</x:v>
      </x:c>
      <x:c r="T28" s="1" t="str">
        <x:v>Journal article/BB_Basic/16part_TF=0.6_RDD=0.3_log_1.txt</x:v>
      </x:c>
    </x:row>
    <x:row r="29" ht="23" customHeight="1">
      <x:c r="A29" s="1" t="str">
        <x:v>16part_TF=0.6_RDD=0.6</x:v>
      </x:c>
      <x:c r="B29" s="1" t="n">
        <x:v>16</x:v>
      </x:c>
      <x:c r="C29" s="1" t="n">
        <x:v>0</x:v>
      </x:c>
      <x:c r="D29" s="1" t="n">
        <x:v>0.2</x:v>
      </x:c>
      <x:c r="E29" s="1" t="str">
        <x:v>OPTIMAL</x:v>
      </x:c>
      <x:c r="F29" s="1" t="n">
        <x:v>3600</x:v>
      </x:c>
      <x:c r="G29" s="1" t="n">
        <x:v>28.67244</x:v>
      </x:c>
      <x:c r="H29" s="1" t="n">
        <x:v>28.67244</x:v>
      </x:c>
      <x:c r="I29" s="1" t="n">
        <x:v>29.1106536</x:v>
      </x:c>
      <x:c r="J29" s="1" t="n">
        <x:v>227.69820799999997</x:v>
      </x:c>
      <x:c r="K29" s="1" t="n">
        <x:v>227.69820799999997</x:v>
      </x:c>
      <x:c r="L29" s="1" t="n">
        <x:v>0</x:v>
      </x:c>
      <x:c r="M29" s="1" t="n">
        <x:v>0</x:v>
      </x:c>
      <x:c r="N29" s="1" t="n">
        <x:v>2490206</x:v>
      </x:c>
      <x:c r="O29" s="1" t="n">
        <x:v>0</x:v>
      </x:c>
      <x:c r="P29" s="1" t="n">
        <x:v>0</x:v>
      </x:c>
      <x:c r="Q29" s="1" t="str">
        <x:v>bb_pending_bounds_v1</x:v>
      </x:c>
      <x:c r="R29" s="1" t="str">
        <x:v>search_after_cache_before_cleanup_v1</x:v>
      </x:c>
      <x:c r="S29" s="1" t="str">
        <x:v>D:\C++\Branch&amp;Bound_charge\GeneratedResults\16part_TF=0.6_RDD=0.6.txt</x:v>
      </x:c>
      <x:c r="T29" s="1" t="str">
        <x:v>Journal article/BB_Basic/16part_TF=0.6_RDD=0.6_log_1.txt</x:v>
      </x:c>
    </x:row>
    <x:row r="30" ht="23" customHeight="1">
      <x:c r="A30" s="1" t="str">
        <x:v>17part_TF=0.3_RDD=0.3</x:v>
      </x:c>
      <x:c r="B30" s="1" t="n">
        <x:v>17</x:v>
      </x:c>
      <x:c r="C30" s="1" t="n">
        <x:v>0</x:v>
      </x:c>
      <x:c r="D30" s="1" t="n">
        <x:v>0.2</x:v>
      </x:c>
      <x:c r="E30" s="1" t="str">
        <x:v>OPTIMAL</x:v>
      </x:c>
      <x:c r="F30" s="1" t="n">
        <x:v>3600</x:v>
      </x:c>
      <x:c r="G30" s="1" t="n">
        <x:v>286.4397153</x:v>
      </x:c>
      <x:c r="H30" s="1" t="n">
        <x:v>286.4397153</x:v>
      </x:c>
      <x:c r="I30" s="1" t="n">
        <x:v>293.6367978</x:v>
      </x:c>
      <x:c r="J30" s="1" t="n">
        <x:v>58.606369599999994</x:v>
      </x:c>
      <x:c r="K30" s="1" t="n">
        <x:v>58.606369599999994</x:v>
      </x:c>
      <x:c r="L30" s="1" t="n">
        <x:v>0</x:v>
      </x:c>
      <x:c r="M30" s="1" t="n">
        <x:v>0</x:v>
      </x:c>
      <x:c r="N30" s="1" t="n">
        <x:v>22473356</x:v>
      </x:c>
      <x:c r="O30" s="1" t="n">
        <x:v>0</x:v>
      </x:c>
      <x:c r="P30" s="1" t="n">
        <x:v>0</x:v>
      </x:c>
      <x:c r="Q30" s="1" t="str">
        <x:v>bb_pending_bounds_v1</x:v>
      </x:c>
      <x:c r="R30" s="1" t="str">
        <x:v>search_after_cache_before_cleanup_v1</x:v>
      </x:c>
      <x:c r="S30" s="1" t="str">
        <x:v>D:\C++\Branch&amp;Bound_charge\GeneratedResults\17part_TF=0.3_RDD=0.3.txt</x:v>
      </x:c>
      <x:c r="T30" s="1" t="str">
        <x:v>Journal article/BB_Basic/17part_TF=0.3_RDD=0.3_log_1.txt</x:v>
      </x:c>
    </x:row>
    <x:row r="31" ht="23" customHeight="1">
      <x:c r="A31" s="1" t="str">
        <x:v>17part_TF=0.3_RDD=0.6</x:v>
      </x:c>
      <x:c r="B31" s="1" t="n">
        <x:v>17</x:v>
      </x:c>
      <x:c r="C31" s="1" t="n">
        <x:v>0</x:v>
      </x:c>
      <x:c r="D31" s="1" t="n">
        <x:v>0.2</x:v>
      </x:c>
      <x:c r="E31" s="1" t="str">
        <x:v>OPTIMAL</x:v>
      </x:c>
      <x:c r="F31" s="1" t="n">
        <x:v>3600</x:v>
      </x:c>
      <x:c r="G31" s="1" t="n">
        <x:v>143.9853876</x:v>
      </x:c>
      <x:c r="H31" s="1" t="n">
        <x:v>143.9853876</x:v>
      </x:c>
      <x:c r="I31" s="1" t="n">
        <x:v>147.879994</x:v>
      </x:c>
      <x:c r="J31" s="1" t="n">
        <x:v>72.15854079999997</x:v>
      </x:c>
      <x:c r="K31" s="1" t="n">
        <x:v>72.15854079999997</x:v>
      </x:c>
      <x:c r="L31" s="1" t="n">
        <x:v>0</x:v>
      </x:c>
      <x:c r="M31" s="1" t="n">
        <x:v>0</x:v>
      </x:c>
      <x:c r="N31" s="1" t="n">
        <x:v>11078939</x:v>
      </x:c>
      <x:c r="O31" s="1" t="n">
        <x:v>0</x:v>
      </x:c>
      <x:c r="P31" s="1" t="n">
        <x:v>0</x:v>
      </x:c>
      <x:c r="Q31" s="1" t="str">
        <x:v>bb_pending_bounds_v1</x:v>
      </x:c>
      <x:c r="R31" s="1" t="str">
        <x:v>search_after_cache_before_cleanup_v1</x:v>
      </x:c>
      <x:c r="S31" s="1" t="str">
        <x:v>D:\C++\Branch&amp;Bound_charge\GeneratedResults\17part_TF=0.3_RDD=0.6.txt</x:v>
      </x:c>
      <x:c r="T31" s="1" t="str">
        <x:v>Journal article/BB_Basic/17part_TF=0.3_RDD=0.6_log_1.txt</x:v>
      </x:c>
    </x:row>
    <x:row r="32" ht="23" customHeight="1">
      <x:c r="A32" s="1" t="str">
        <x:v>17part_TF=0.6_RDD=0.3</x:v>
      </x:c>
      <x:c r="B32" s="1" t="n">
        <x:v>17</x:v>
      </x:c>
      <x:c r="C32" s="1" t="n">
        <x:v>0</x:v>
      </x:c>
      <x:c r="D32" s="1" t="n">
        <x:v>0.2</x:v>
      </x:c>
      <x:c r="E32" s="1" t="str">
        <x:v>OPTIMAL</x:v>
      </x:c>
      <x:c r="F32" s="1" t="n">
        <x:v>3600</x:v>
      </x:c>
      <x:c r="G32" s="1" t="n">
        <x:v>56.4838081</x:v>
      </x:c>
      <x:c r="H32" s="1" t="n">
        <x:v>56.4838081</x:v>
      </x:c>
      <x:c r="I32" s="1" t="n">
        <x:v>57.8725241</x:v>
      </x:c>
      <x:c r="J32" s="1" t="n">
        <x:v>214.18903520000003</x:v>
      </x:c>
      <x:c r="K32" s="1" t="n">
        <x:v>214.18903520000003</x:v>
      </x:c>
      <x:c r="L32" s="1" t="n">
        <x:v>0</x:v>
      </x:c>
      <x:c r="M32" s="1" t="n">
        <x:v>0</x:v>
      </x:c>
      <x:c r="N32" s="1" t="n">
        <x:v>5374771</x:v>
      </x:c>
      <x:c r="O32" s="1" t="n">
        <x:v>0</x:v>
      </x:c>
      <x:c r="P32" s="1" t="n">
        <x:v>0</x:v>
      </x:c>
      <x:c r="Q32" s="1" t="str">
        <x:v>bb_pending_bounds_v1</x:v>
      </x:c>
      <x:c r="R32" s="1" t="str">
        <x:v>search_after_cache_before_cleanup_v1</x:v>
      </x:c>
      <x:c r="S32" s="1" t="str">
        <x:v>D:\C++\Branch&amp;Bound_charge\GeneratedResults\17part_TF=0.6_RDD=0.3.txt</x:v>
      </x:c>
      <x:c r="T32" s="1" t="str">
        <x:v>Journal article/BB_Basic/17part_TF=0.6_RDD=0.3_log_1.txt</x:v>
      </x:c>
    </x:row>
    <x:row r="33" ht="23" customHeight="1">
      <x:c r="A33" s="1" t="str">
        <x:v>17part_TF=0.6_RDD=0.6</x:v>
      </x:c>
      <x:c r="B33" s="1" t="n">
        <x:v>17</x:v>
      </x:c>
      <x:c r="C33" s="1" t="n">
        <x:v>0</x:v>
      </x:c>
      <x:c r="D33" s="1" t="n">
        <x:v>0.2</x:v>
      </x:c>
      <x:c r="E33" s="1" t="str">
        <x:v>OPTIMAL</x:v>
      </x:c>
      <x:c r="F33" s="1" t="n">
        <x:v>3600</x:v>
      </x:c>
      <x:c r="G33" s="1" t="n">
        <x:v>81.064532</x:v>
      </x:c>
      <x:c r="H33" s="1" t="n">
        <x:v>81.064532</x:v>
      </x:c>
      <x:c r="I33" s="1" t="n">
        <x:v>82.4943361</x:v>
      </x:c>
      <x:c r="J33" s="1" t="n">
        <x:v>237.03456799999998</x:v>
      </x:c>
      <x:c r="K33" s="1" t="n">
        <x:v>237.03456799999998</x:v>
      </x:c>
      <x:c r="L33" s="1" t="n">
        <x:v>0</x:v>
      </x:c>
      <x:c r="M33" s="1" t="n">
        <x:v>0</x:v>
      </x:c>
      <x:c r="N33" s="1" t="n">
        <x:v>7255839</x:v>
      </x:c>
      <x:c r="O33" s="1" t="n">
        <x:v>0</x:v>
      </x:c>
      <x:c r="P33" s="1" t="n">
        <x:v>0</x:v>
      </x:c>
      <x:c r="Q33" s="1" t="str">
        <x:v>bb_pending_bounds_v1</x:v>
      </x:c>
      <x:c r="R33" s="1" t="str">
        <x:v>search_after_cache_before_cleanup_v1</x:v>
      </x:c>
      <x:c r="S33" s="1" t="str">
        <x:v>D:\C++\Branch&amp;Bound_charge\GeneratedResults\17part_TF=0.6_RDD=0.6.txt</x:v>
      </x:c>
      <x:c r="T33" s="1" t="str">
        <x:v>Journal article/BB_Basic/17part_TF=0.6_RDD=0.6_log_1.txt</x:v>
      </x:c>
    </x:row>
    <x:row r="34" ht="23" customHeight="1">
      <x:c r="A34" s="1" t="str">
        <x:v>18part_TF=0.3_RDD=0.3</x:v>
      </x:c>
      <x:c r="B34" s="1" t="n">
        <x:v>18</x:v>
      </x:c>
      <x:c r="C34" s="1" t="n">
        <x:v>0</x:v>
      </x:c>
      <x:c r="D34" s="1" t="n">
        <x:v>0.2</x:v>
      </x:c>
      <x:c r="E34" s="1" t="str">
        <x:v>OPTIMAL</x:v>
      </x:c>
      <x:c r="F34" s="1" t="n">
        <x:v>3600</x:v>
      </x:c>
      <x:c r="G34" s="1" t="n">
        <x:v>1322.5463045</x:v>
      </x:c>
      <x:c r="H34" s="1" t="n">
        <x:v>1322.5463045</x:v>
      </x:c>
      <x:c r="I34" s="1" t="n">
        <x:v>1398.926121</x:v>
      </x:c>
      <x:c r="J34" s="1" t="n">
        <x:v>34.068544</x:v>
      </x:c>
      <x:c r="K34" s="1" t="n">
        <x:v>34.068544</x:v>
      </x:c>
      <x:c r="L34" s="1" t="n">
        <x:v>0</x:v>
      </x:c>
      <x:c r="M34" s="1" t="n">
        <x:v>0</x:v>
      </x:c>
      <x:c r="N34" s="1" t="n">
        <x:v>97871679</x:v>
      </x:c>
      <x:c r="O34" s="1" t="n">
        <x:v>0</x:v>
      </x:c>
      <x:c r="P34" s="1" t="n">
        <x:v>0</x:v>
      </x:c>
      <x:c r="Q34" s="1" t="str">
        <x:v>bb_pending_bounds_v1</x:v>
      </x:c>
      <x:c r="R34" s="1" t="str">
        <x:v>search_after_cache_before_cleanup_v1</x:v>
      </x:c>
      <x:c r="S34" s="1" t="str">
        <x:v>D:\C++\Branch&amp;Bound_charge\GeneratedResults\18part_TF=0.3_RDD=0.3.txt</x:v>
      </x:c>
      <x:c r="T34" s="1" t="str">
        <x:v>Journal article/BB_Basic/18part_TF=0.3_RDD=0.3_log_1.txt</x:v>
      </x:c>
    </x:row>
    <x:row r="35" ht="23" customHeight="1">
      <x:c r="A35" s="1" t="str">
        <x:v>18part_TF=0.3_RDD=0.6</x:v>
      </x:c>
      <x:c r="B35" s="1" t="n">
        <x:v>18</x:v>
      </x:c>
      <x:c r="C35" s="1" t="n">
        <x:v>0</x:v>
      </x:c>
      <x:c r="D35" s="1" t="n">
        <x:v>0.2</x:v>
      </x:c>
      <x:c r="E35" s="1" t="str">
        <x:v>OPTIMAL</x:v>
      </x:c>
      <x:c r="F35" s="1" t="n">
        <x:v>3600</x:v>
      </x:c>
      <x:c r="G35" s="1" t="n">
        <x:v>216.3423383</x:v>
      </x:c>
      <x:c r="H35" s="1" t="n">
        <x:v>216.3423383</x:v>
      </x:c>
      <x:c r="I35" s="1" t="n">
        <x:v>223.6386425</x:v>
      </x:c>
      <x:c r="J35" s="1" t="n">
        <x:v>12.068544000000003</x:v>
      </x:c>
      <x:c r="K35" s="1" t="n">
        <x:v>12.068544000000003</x:v>
      </x:c>
      <x:c r="L35" s="1" t="n">
        <x:v>0</x:v>
      </x:c>
      <x:c r="M35" s="1" t="n">
        <x:v>0</x:v>
      </x:c>
      <x:c r="N35" s="1" t="n">
        <x:v>15204293</x:v>
      </x:c>
      <x:c r="O35" s="1" t="n">
        <x:v>0</x:v>
      </x:c>
      <x:c r="P35" s="1" t="n">
        <x:v>0</x:v>
      </x:c>
      <x:c r="Q35" s="1" t="str">
        <x:v>bb_pending_bounds_v1</x:v>
      </x:c>
      <x:c r="R35" s="1" t="str">
        <x:v>search_after_cache_before_cleanup_v1</x:v>
      </x:c>
      <x:c r="S35" s="1" t="str">
        <x:v>D:\C++\Branch&amp;Bound_charge\GeneratedResults\18part_TF=0.3_RDD=0.6.txt</x:v>
      </x:c>
      <x:c r="T35" s="1" t="str">
        <x:v>Journal article/BB_Basic/18part_TF=0.3_RDD=0.6_log_1.txt</x:v>
      </x:c>
    </x:row>
    <x:row r="36" ht="23" customHeight="1">
      <x:c r="A36" s="1" t="str">
        <x:v>18part_TF=0.6_RDD=0.3</x:v>
      </x:c>
      <x:c r="B36" s="1" t="n">
        <x:v>18</x:v>
      </x:c>
      <x:c r="C36" s="1" t="n">
        <x:v>0</x:v>
      </x:c>
      <x:c r="D36" s="1" t="n">
        <x:v>0.2</x:v>
      </x:c>
      <x:c r="E36" s="1" t="str">
        <x:v>OPTIMAL</x:v>
      </x:c>
      <x:c r="F36" s="1" t="n">
        <x:v>3600</x:v>
      </x:c>
      <x:c r="G36" s="1" t="n">
        <x:v>182.715043</x:v>
      </x:c>
      <x:c r="H36" s="1" t="n">
        <x:v>182.715043</x:v>
      </x:c>
      <x:c r="I36" s="1" t="n">
        <x:v>188.4698747</x:v>
      </x:c>
      <x:c r="J36" s="1" t="n">
        <x:v>171.77653599999996</x:v>
      </x:c>
      <x:c r="K36" s="1" t="n">
        <x:v>171.77653599999996</x:v>
      </x:c>
      <x:c r="L36" s="1" t="n">
        <x:v>0</x:v>
      </x:c>
      <x:c r="M36" s="1" t="n">
        <x:v>0</x:v>
      </x:c>
      <x:c r="N36" s="1" t="n">
        <x:v>16778873</x:v>
      </x:c>
      <x:c r="O36" s="1" t="n">
        <x:v>0</x:v>
      </x:c>
      <x:c r="P36" s="1" t="n">
        <x:v>0</x:v>
      </x:c>
      <x:c r="Q36" s="1" t="str">
        <x:v>bb_pending_bounds_v1</x:v>
      </x:c>
      <x:c r="R36" s="1" t="str">
        <x:v>search_after_cache_before_cleanup_v1</x:v>
      </x:c>
      <x:c r="S36" s="1" t="str">
        <x:v>D:\C++\Branch&amp;Bound_charge\GeneratedResults\18part_TF=0.6_RDD=0.3.txt</x:v>
      </x:c>
      <x:c r="T36" s="1" t="str">
        <x:v>Journal article/BB_Basic/18part_TF=0.6_RDD=0.3_log_1.txt</x:v>
      </x:c>
    </x:row>
    <x:row r="37" ht="23" customHeight="1">
      <x:c r="A37" s="1" t="str">
        <x:v>18part_TF=0.6_RDD=0.6</x:v>
      </x:c>
      <x:c r="B37" s="1" t="n">
        <x:v>18</x:v>
      </x:c>
      <x:c r="C37" s="1" t="n">
        <x:v>0</x:v>
      </x:c>
      <x:c r="D37" s="1" t="n">
        <x:v>0.2</x:v>
      </x:c>
      <x:c r="E37" s="1" t="str">
        <x:v>OPTIMAL</x:v>
      </x:c>
      <x:c r="F37" s="1" t="n">
        <x:v>3600</x:v>
      </x:c>
      <x:c r="G37" s="1" t="n">
        <x:v>177.8956353</x:v>
      </x:c>
      <x:c r="H37" s="1" t="n">
        <x:v>177.8956353</x:v>
      </x:c>
      <x:c r="I37" s="1" t="n">
        <x:v>183.1719287</x:v>
      </x:c>
      <x:c r="J37" s="1" t="n">
        <x:v>154.82355999999993</x:v>
      </x:c>
      <x:c r="K37" s="1" t="n">
        <x:v>154.82355999999993</x:v>
      </x:c>
      <x:c r="L37" s="1" t="n">
        <x:v>0</x:v>
      </x:c>
      <x:c r="M37" s="1" t="n">
        <x:v>0</x:v>
      </x:c>
      <x:c r="N37" s="1" t="n">
        <x:v>15436455</x:v>
      </x:c>
      <x:c r="O37" s="1" t="n">
        <x:v>0</x:v>
      </x:c>
      <x:c r="P37" s="1" t="n">
        <x:v>0</x:v>
      </x:c>
      <x:c r="Q37" s="1" t="str">
        <x:v>bb_pending_bounds_v1</x:v>
      </x:c>
      <x:c r="R37" s="1" t="str">
        <x:v>search_after_cache_before_cleanup_v1</x:v>
      </x:c>
      <x:c r="S37" s="1" t="str">
        <x:v>D:\C++\Branch&amp;Bound_charge\GeneratedResults\18part_TF=0.6_RDD=0.6.txt</x:v>
      </x:c>
      <x:c r="T37" s="1" t="str">
        <x:v>Journal article/BB_Basic/18part_TF=0.6_RDD=0.6_log_1.txt</x:v>
      </x:c>
    </x:row>
    <x:row r="38" ht="23" customHeight="1">
      <x:c r="A38" s="1" t="str">
        <x:v>19part_TF=0.3_RDD=0.3</x:v>
      </x:c>
      <x:c r="B38" s="1" t="n">
        <x:v>19</x:v>
      </x:c>
      <x:c r="C38" s="1" t="n">
        <x:v>0</x:v>
      </x:c>
      <x:c r="D38" s="1" t="n">
        <x:v>0.2</x:v>
      </x:c>
      <x:c r="E38" s="1" t="str">
        <x:v>OPTIMAL</x:v>
      </x:c>
      <x:c r="F38" s="1" t="n">
        <x:v>3600</x:v>
      </x:c>
      <x:c r="G38" s="1" t="n">
        <x:v>830.6004666</x:v>
      </x:c>
      <x:c r="H38" s="1" t="n">
        <x:v>830.6004666</x:v>
      </x:c>
      <x:c r="I38" s="1" t="n">
        <x:v>853.3165907</x:v>
      </x:c>
      <x:c r="J38" s="1" t="n">
        <x:v>292.56523359999994</x:v>
      </x:c>
      <x:c r="K38" s="1" t="n">
        <x:v>292.56523359999994</x:v>
      </x:c>
      <x:c r="L38" s="1" t="n">
        <x:v>0</x:v>
      </x:c>
      <x:c r="M38" s="1" t="n">
        <x:v>0</x:v>
      </x:c>
      <x:c r="N38" s="1" t="n">
        <x:v>70872369</x:v>
      </x:c>
      <x:c r="O38" s="1" t="n">
        <x:v>0</x:v>
      </x:c>
      <x:c r="P38" s="1" t="n">
        <x:v>0</x:v>
      </x:c>
      <x:c r="Q38" s="1" t="str">
        <x:v>bb_pending_bounds_v1</x:v>
      </x:c>
      <x:c r="R38" s="1" t="str">
        <x:v>search_after_cache_before_cleanup_v1</x:v>
      </x:c>
      <x:c r="S38" s="1" t="str">
        <x:v>D:\C++\Branch&amp;Bound_charge\GeneratedResults\19part_TF=0.3_RDD=0.3.txt</x:v>
      </x:c>
      <x:c r="T38" s="1" t="str">
        <x:v>Journal article/BB_Basic/19part_TF=0.3_RDD=0.3_log_1.txt</x:v>
      </x:c>
    </x:row>
    <x:row r="39" ht="23" customHeight="1">
      <x:c r="A39" s="1" t="str">
        <x:v>19part_TF=0.3_RDD=0.6</x:v>
      </x:c>
      <x:c r="B39" s="1" t="n">
        <x:v>19</x:v>
      </x:c>
      <x:c r="C39" s="1" t="n">
        <x:v>0</x:v>
      </x:c>
      <x:c r="D39" s="1" t="n">
        <x:v>0.2</x:v>
      </x:c>
      <x:c r="E39" s="1" t="str">
        <x:v>OPTIMAL</x:v>
      </x:c>
      <x:c r="F39" s="1" t="n">
        <x:v>3600</x:v>
      </x:c>
      <x:c r="G39" s="1" t="n">
        <x:v>451.3058704</x:v>
      </x:c>
      <x:c r="H39" s="1" t="n">
        <x:v>451.3058704</x:v>
      </x:c>
      <x:c r="I39" s="1" t="n">
        <x:v>461.4224729</x:v>
      </x:c>
      <x:c r="J39" s="1" t="n">
        <x:v>291.74097119999993</x:v>
      </x:c>
      <x:c r="K39" s="1" t="n">
        <x:v>291.74097119999993</x:v>
      </x:c>
      <x:c r="L39" s="1" t="n">
        <x:v>0</x:v>
      </x:c>
      <x:c r="M39" s="1" t="n">
        <x:v>0</x:v>
      </x:c>
      <x:c r="N39" s="1" t="n">
        <x:v>38452428</x:v>
      </x:c>
      <x:c r="O39" s="1" t="n">
        <x:v>0</x:v>
      </x:c>
      <x:c r="P39" s="1" t="n">
        <x:v>0</x:v>
      </x:c>
      <x:c r="Q39" s="1" t="str">
        <x:v>bb_pending_bounds_v1</x:v>
      </x:c>
      <x:c r="R39" s="1" t="str">
        <x:v>search_after_cache_before_cleanup_v1</x:v>
      </x:c>
      <x:c r="S39" s="1" t="str">
        <x:v>D:\C++\Branch&amp;Bound_charge\GeneratedResults\19part_TF=0.3_RDD=0.6.txt</x:v>
      </x:c>
      <x:c r="T39" s="1" t="str">
        <x:v>Journal article/BB_Basic/19part_TF=0.3_RDD=0.6_log_1.txt</x:v>
      </x:c>
    </x:row>
    <x:row r="40" ht="23" customHeight="1">
      <x:c r="A40" s="1" t="str">
        <x:v>19part_TF=0.6_RDD=0.3</x:v>
      </x:c>
      <x:c r="B40" s="1" t="n">
        <x:v>19</x:v>
      </x:c>
      <x:c r="C40" s="1" t="n">
        <x:v>0</x:v>
      </x:c>
      <x:c r="D40" s="1" t="n">
        <x:v>0.2</x:v>
      </x:c>
      <x:c r="E40" s="1" t="str">
        <x:v>OPTIMAL</x:v>
      </x:c>
      <x:c r="F40" s="1" t="n">
        <x:v>3600</x:v>
      </x:c>
      <x:c r="G40" s="1" t="n">
        <x:v>355.7542873</x:v>
      </x:c>
      <x:c r="H40" s="1" t="n">
        <x:v>355.7542873</x:v>
      </x:c>
      <x:c r="I40" s="1" t="n">
        <x:v>363.058939</x:v>
      </x:c>
      <x:c r="J40" s="1" t="n">
        <x:v>400.53202559999994</x:v>
      </x:c>
      <x:c r="K40" s="1" t="n">
        <x:v>400.53202559999994</x:v>
      </x:c>
      <x:c r="L40" s="1" t="n">
        <x:v>0</x:v>
      </x:c>
      <x:c r="M40" s="1" t="n">
        <x:v>0</x:v>
      </x:c>
      <x:c r="N40" s="1" t="n">
        <x:v>34682160</x:v>
      </x:c>
      <x:c r="O40" s="1" t="n">
        <x:v>0</x:v>
      </x:c>
      <x:c r="P40" s="1" t="n">
        <x:v>0</x:v>
      </x:c>
      <x:c r="Q40" s="1" t="str">
        <x:v>bb_pending_bounds_v1</x:v>
      </x:c>
      <x:c r="R40" s="1" t="str">
        <x:v>search_after_cache_before_cleanup_v1</x:v>
      </x:c>
      <x:c r="S40" s="1" t="str">
        <x:v>D:\C++\Branch&amp;Bound_charge\GeneratedResults\19part_TF=0.6_RDD=0.3.txt</x:v>
      </x:c>
      <x:c r="T40" s="1" t="str">
        <x:v>Journal article/BB_Basic/19part_TF=0.6_RDD=0.3_log_1.txt</x:v>
      </x:c>
    </x:row>
    <x:row r="41" ht="23" customHeight="1">
      <x:c r="A41" s="1" t="str">
        <x:v>19part_TF=0.6_RDD=0.6</x:v>
      </x:c>
      <x:c r="B41" s="1" t="n">
        <x:v>19</x:v>
      </x:c>
      <x:c r="C41" s="1" t="n">
        <x:v>0</x:v>
      </x:c>
      <x:c r="D41" s="1" t="n">
        <x:v>0.2</x:v>
      </x:c>
      <x:c r="E41" s="1" t="str">
        <x:v>OPTIMAL</x:v>
      </x:c>
      <x:c r="F41" s="1" t="n">
        <x:v>3600</x:v>
      </x:c>
      <x:c r="G41" s="1" t="n">
        <x:v>472.8373221</x:v>
      </x:c>
      <x:c r="H41" s="1" t="n">
        <x:v>472.8373221</x:v>
      </x:c>
      <x:c r="I41" s="1" t="n">
        <x:v>485.1386783</x:v>
      </x:c>
      <x:c r="J41" s="1" t="n">
        <x:v>309.87042399999996</x:v>
      </x:c>
      <x:c r="K41" s="1" t="n">
        <x:v>309.87042399999996</x:v>
      </x:c>
      <x:c r="L41" s="1" t="n">
        <x:v>0</x:v>
      </x:c>
      <x:c r="M41" s="1" t="n">
        <x:v>0</x:v>
      </x:c>
      <x:c r="N41" s="1" t="n">
        <x:v>47231779</x:v>
      </x:c>
      <x:c r="O41" s="1" t="n">
        <x:v>0</x:v>
      </x:c>
      <x:c r="P41" s="1" t="n">
        <x:v>0</x:v>
      </x:c>
      <x:c r="Q41" s="1" t="str">
        <x:v>bb_pending_bounds_v1</x:v>
      </x:c>
      <x:c r="R41" s="1" t="str">
        <x:v>search_after_cache_before_cleanup_v1</x:v>
      </x:c>
      <x:c r="S41" s="1" t="str">
        <x:v>D:\C++\Branch&amp;Bound_charge\GeneratedResults\19part_TF=0.6_RDD=0.6.txt</x:v>
      </x:c>
      <x:c r="T41" s="1" t="str">
        <x:v>Journal article/BB_Basic/19part_TF=0.6_RDD=0.6_log_1.txt</x:v>
      </x:c>
    </x:row>
    <x:row r="42" ht="23" customHeight="1">
      <x:c r="A42" s="1" t="str">
        <x:v>20part_TF=0.3_RDD=0.3</x:v>
      </x:c>
      <x:c r="B42" s="1" t="n">
        <x:v>20</x:v>
      </x:c>
      <x:c r="C42" s="1" t="n">
        <x:v>0</x:v>
      </x:c>
      <x:c r="D42" s="1" t="n">
        <x:v>0.2</x:v>
      </x:c>
      <x:c r="E42" s="1" t="str">
        <x:v>TIME_LIMIT</x:v>
      </x:c>
      <x:c r="F42" s="1" t="n">
        <x:v>3600</x:v>
      </x:c>
      <x:c r="G42" s="1"/>
      <x:c r="H42" s="1" t="n">
        <x:v>3600.0002994</x:v>
      </x:c>
      <x:c r="I42" s="1" t="n">
        <x:v>6010.8884568</x:v>
      </x:c>
      <x:c r="J42" s="1" t="n">
        <x:v>51.739759999999976</x:v>
      </x:c>
      <x:c r="K42" s="1" t="n">
        <x:v>3.3786719999999946</x:v>
      </x:c>
      <x:c r="L42" s="1" t="n">
        <x:v>0.9346987307246885</x:v>
      </x:c>
      <x:c r="M42" s="1" t="n">
        <x:v>93.46987307246884</x:v>
      </x:c>
      <x:c r="N42" s="1" t="n">
        <x:v>153245185</x:v>
      </x:c>
      <x:c r="O42" s="1" t="n">
        <x:v>0</x:v>
      </x:c>
      <x:c r="P42" s="1" t="n">
        <x:v>0</x:v>
      </x:c>
      <x:c r="Q42" s="1" t="str">
        <x:v>bb_pending_bounds_v1</x:v>
      </x:c>
      <x:c r="R42" s="1" t="str">
        <x:v>search_after_cache_before_cleanup_v1</x:v>
      </x:c>
      <x:c r="S42" s="1" t="str">
        <x:v>D:\C++\Branch&amp;Bound_charge\GeneratedResults\20part_TF=0.3_RDD=0.3.txt</x:v>
      </x:c>
      <x:c r="T42" s="1" t="str">
        <x:v>Journal article/BB_Basic/20part_TF=0.3_RDD=0.3_log_1.txt</x:v>
      </x:c>
    </x:row>
    <x:row r="43" ht="23" customHeight="1">
      <x:c r="A43" s="1" t="str">
        <x:v>20part_TF=0.3_RDD=0.6</x:v>
      </x:c>
      <x:c r="B43" s="1" t="n">
        <x:v>20</x:v>
      </x:c>
      <x:c r="C43" s="1" t="n">
        <x:v>0</x:v>
      </x:c>
      <x:c r="D43" s="1" t="n">
        <x:v>0.2</x:v>
      </x:c>
      <x:c r="E43" s="1" t="str">
        <x:v>TIME_LIMIT</x:v>
      </x:c>
      <x:c r="F43" s="1" t="n">
        <x:v>3600</x:v>
      </x:c>
      <x:c r="G43" s="1"/>
      <x:c r="H43" s="1" t="n">
        <x:v>3600.0000085</x:v>
      </x:c>
      <x:c r="I43" s="1" t="n">
        <x:v>6806.8089173</x:v>
      </x:c>
      <x:c r="J43" s="1" t="n">
        <x:v>37.12963199999997</x:v>
      </x:c>
      <x:c r="K43" s="1" t="n">
        <x:v>0</x:v>
      </x:c>
      <x:c r="L43" s="1" t="n">
        <x:v>1</x:v>
      </x:c>
      <x:c r="M43" s="1" t="n">
        <x:v>100</x:v>
      </x:c>
      <x:c r="N43" s="1" t="n">
        <x:v>102165364</x:v>
      </x:c>
      <x:c r="O43" s="1" t="n">
        <x:v>0</x:v>
      </x:c>
      <x:c r="P43" s="1" t="n">
        <x:v>0</x:v>
      </x:c>
      <x:c r="Q43" s="1" t="str">
        <x:v>bb_pending_bounds_v1</x:v>
      </x:c>
      <x:c r="R43" s="1" t="str">
        <x:v>search_after_cache_before_cleanup_v1</x:v>
      </x:c>
      <x:c r="S43" s="1" t="str">
        <x:v>D:\C++\Branch&amp;Bound_charge\GeneratedResults\20part_TF=0.3_RDD=0.6.txt</x:v>
      </x:c>
      <x:c r="T43" s="1" t="str">
        <x:v>Journal article/BB_Basic/20part_TF=0.3_RDD=0.6_log_1.txt</x:v>
      </x:c>
    </x:row>
    <x:row r="44" ht="23" customHeight="1">
      <x:c r="A44" s="1" t="str">
        <x:v>20part_TF=0.6_RDD=0.3</x:v>
      </x:c>
      <x:c r="B44" s="1" t="n">
        <x:v>20</x:v>
      </x:c>
      <x:c r="C44" s="1" t="n">
        <x:v>0</x:v>
      </x:c>
      <x:c r="D44" s="1" t="n">
        <x:v>0.2</x:v>
      </x:c>
      <x:c r="E44" s="1" t="str">
        <x:v>OPTIMAL</x:v>
      </x:c>
      <x:c r="F44" s="1" t="n">
        <x:v>3600</x:v>
      </x:c>
      <x:c r="G44" s="1" t="n">
        <x:v>2931.5486761</x:v>
      </x:c>
      <x:c r="H44" s="1" t="n">
        <x:v>2931.5486761</x:v>
      </x:c>
      <x:c r="I44" s="1" t="n">
        <x:v>5662.5929435</x:v>
      </x:c>
      <x:c r="J44" s="1" t="n">
        <x:v>219.6890239999999</x:v>
      </x:c>
      <x:c r="K44" s="1" t="n">
        <x:v>219.6890239999999</x:v>
      </x:c>
      <x:c r="L44" s="1" t="n">
        <x:v>0</x:v>
      </x:c>
      <x:c r="M44" s="1" t="n">
        <x:v>0</x:v>
      </x:c>
      <x:c r="N44" s="1" t="n">
        <x:v>117351746</x:v>
      </x:c>
      <x:c r="O44" s="1" t="n">
        <x:v>0</x:v>
      </x:c>
      <x:c r="P44" s="1" t="n">
        <x:v>0</x:v>
      </x:c>
      <x:c r="Q44" s="1" t="str">
        <x:v>bb_pending_bounds_v1</x:v>
      </x:c>
      <x:c r="R44" s="1" t="str">
        <x:v>search_after_cache_before_cleanup_v1</x:v>
      </x:c>
      <x:c r="S44" s="1" t="str">
        <x:v>D:\C++\Branch&amp;Bound_charge\GeneratedResults\20part_TF=0.6_RDD=0.3.txt</x:v>
      </x:c>
      <x:c r="T44" s="1" t="str">
        <x:v>Journal article/BB_Basic/20part_TF=0.6_RDD=0.3_log_1.txt</x:v>
      </x:c>
    </x:row>
    <x:row r="45" ht="23" customHeight="1">
      <x:c r="A45" s="1" t="str">
        <x:v>20part_TF=0.6_RDD=0.6</x:v>
      </x:c>
      <x:c r="B45" s="1" t="n">
        <x:v>20</x:v>
      </x:c>
      <x:c r="C45" s="1" t="n">
        <x:v>0</x:v>
      </x:c>
      <x:c r="D45" s="1" t="n">
        <x:v>0.2</x:v>
      </x:c>
      <x:c r="E45" s="1" t="str">
        <x:v>OPTIMAL</x:v>
      </x:c>
      <x:c r="F45" s="1" t="n">
        <x:v>3600</x:v>
      </x:c>
      <x:c r="G45" s="1" t="n">
        <x:v>1517.8446432</x:v>
      </x:c>
      <x:c r="H45" s="1" t="n">
        <x:v>1517.8446432</x:v>
      </x:c>
      <x:c r="I45" s="1" t="n">
        <x:v>2099.230973</x:v>
      </x:c>
      <x:c r="J45" s="1" t="n">
        <x:v>214.06743199999994</x:v>
      </x:c>
      <x:c r="K45" s="1" t="n">
        <x:v>214.06743199999994</x:v>
      </x:c>
      <x:c r="L45" s="1" t="n">
        <x:v>0</x:v>
      </x:c>
      <x:c r="M45" s="1" t="n">
        <x:v>0</x:v>
      </x:c>
      <x:c r="N45" s="1" t="n">
        <x:v>99022829</x:v>
      </x:c>
      <x:c r="O45" s="1" t="n">
        <x:v>0</x:v>
      </x:c>
      <x:c r="P45" s="1" t="n">
        <x:v>0</x:v>
      </x:c>
      <x:c r="Q45" s="1" t="str">
        <x:v>bb_pending_bounds_v1</x:v>
      </x:c>
      <x:c r="R45" s="1" t="str">
        <x:v>search_after_cache_before_cleanup_v1</x:v>
      </x:c>
      <x:c r="S45" s="1" t="str">
        <x:v>D:\C++\Branch&amp;Bound_charge\GeneratedResults\20part_TF=0.6_RDD=0.6.txt</x:v>
      </x:c>
      <x:c r="T45" s="1" t="str">
        <x:v>Journal article/BB_Basic/20part_TF=0.6_RDD=0.6_log_1.txt</x:v>
      </x:c>
    </x:row>
    <x:row r="46" ht="23" customHeight="1">
      <x:c r="A46" s="1" t="str">
        <x:v>21part_TF=0.3_RDD=0.3</x:v>
      </x:c>
      <x:c r="B46" s="1" t="n">
        <x:v>21</x:v>
      </x:c>
      <x:c r="C46" s="1" t="n">
        <x:v>0</x:v>
      </x:c>
      <x:c r="D46" s="1" t="n">
        <x:v>0.2</x:v>
      </x:c>
      <x:c r="E46" s="1" t="str">
        <x:v>TIME_LIMIT</x:v>
      </x:c>
      <x:c r="F46" s="1" t="n">
        <x:v>3600</x:v>
      </x:c>
      <x:c r="G46" s="1"/>
      <x:c r="H46" s="1" t="n">
        <x:v>3600.0000066</x:v>
      </x:c>
      <x:c r="I46" s="1" t="n">
        <x:v>6867.374098</x:v>
      </x:c>
      <x:c r="J46" s="1" t="n">
        <x:v>101.48395679999997</x:v>
      </x:c>
      <x:c r="K46" s="1" t="n">
        <x:v>3.215047999999996</x:v>
      </x:c>
      <x:c r="L46" s="1" t="n">
        <x:v>0.9683196428147154</x:v>
      </x:c>
      <x:c r="M46" s="1" t="n">
        <x:v>96.83196428147154</x:v>
      </x:c>
      <x:c r="N46" s="1" t="n">
        <x:v>134989337</x:v>
      </x:c>
      <x:c r="O46" s="1" t="n">
        <x:v>0</x:v>
      </x:c>
      <x:c r="P46" s="1" t="n">
        <x:v>0</x:v>
      </x:c>
      <x:c r="Q46" s="1" t="str">
        <x:v>bb_pending_bounds_v1</x:v>
      </x:c>
      <x:c r="R46" s="1" t="str">
        <x:v>search_after_cache_before_cleanup_v1</x:v>
      </x:c>
      <x:c r="S46" s="1" t="str">
        <x:v>D:\C++\Branch&amp;Bound_charge\GeneratedResults\21part_TF=0.3_RDD=0.3.txt</x:v>
      </x:c>
      <x:c r="T46" s="1" t="str">
        <x:v>Journal article/BB_Basic/21part_TF=0.3_RDD=0.3_log_1.txt</x:v>
      </x:c>
    </x:row>
    <x:row r="47" ht="23" customHeight="1">
      <x:c r="A47" s="1" t="str">
        <x:v>21part_TF=0.3_RDD=0.6</x:v>
      </x:c>
      <x:c r="B47" s="1" t="n">
        <x:v>21</x:v>
      </x:c>
      <x:c r="C47" s="1" t="n">
        <x:v>0</x:v>
      </x:c>
      <x:c r="D47" s="1" t="n">
        <x:v>0.2</x:v>
      </x:c>
      <x:c r="E47" s="1" t="str">
        <x:v>TIME_LIMIT</x:v>
      </x:c>
      <x:c r="F47" s="1" t="n">
        <x:v>3600</x:v>
      </x:c>
      <x:c r="G47" s="1"/>
      <x:c r="H47" s="1" t="n">
        <x:v>3600.00001</x:v>
      </x:c>
      <x:c r="I47" s="1" t="n">
        <x:v>5583.3233194</x:v>
      </x:c>
      <x:c r="J47" s="1" t="n">
        <x:v>55.97139200000004</x:v>
      </x:c>
      <x:c r="K47" s="1" t="n">
        <x:v>0</x:v>
      </x:c>
      <x:c r="L47" s="1" t="n">
        <x:v>1</x:v>
      </x:c>
      <x:c r="M47" s="1" t="n">
        <x:v>100</x:v>
      </x:c>
      <x:c r="N47" s="1" t="n">
        <x:v>180458435</x:v>
      </x:c>
      <x:c r="O47" s="1" t="n">
        <x:v>0</x:v>
      </x:c>
      <x:c r="P47" s="1" t="n">
        <x:v>0</x:v>
      </x:c>
      <x:c r="Q47" s="1" t="str">
        <x:v>bb_pending_bounds_v1</x:v>
      </x:c>
      <x:c r="R47" s="1" t="str">
        <x:v>search_after_cache_before_cleanup_v1</x:v>
      </x:c>
      <x:c r="S47" s="1" t="str">
        <x:v>D:\C++\Branch&amp;Bound_charge\GeneratedResults\21part_TF=0.3_RDD=0.6.txt</x:v>
      </x:c>
      <x:c r="T47" s="1" t="str">
        <x:v>Journal article/BB_Basic/21part_TF=0.3_RDD=0.6_log_1.txt</x:v>
      </x:c>
    </x:row>
    <x:row r="48" ht="23" customHeight="1">
      <x:c r="A48" s="1" t="str">
        <x:v>21part_TF=0.6_RDD=0.3</x:v>
      </x:c>
      <x:c r="B48" s="1" t="n">
        <x:v>21</x:v>
      </x:c>
      <x:c r="C48" s="1" t="n">
        <x:v>0</x:v>
      </x:c>
      <x:c r="D48" s="1" t="n">
        <x:v>0.2</x:v>
      </x:c>
      <x:c r="E48" s="1" t="str">
        <x:v>TIME_LIMIT</x:v>
      </x:c>
      <x:c r="F48" s="1" t="n">
        <x:v>3600</x:v>
      </x:c>
      <x:c r="G48" s="1"/>
      <x:c r="H48" s="1" t="n">
        <x:v>3600.0001344</x:v>
      </x:c>
      <x:c r="I48" s="1" t="n">
        <x:v>5965.6628093</x:v>
      </x:c>
      <x:c r="J48" s="1" t="n">
        <x:v>297.5778463999999</x:v>
      </x:c>
      <x:c r="K48" s="1" t="n">
        <x:v>75.53702399999999</x:v>
      </x:c>
      <x:c r="L48" s="1" t="n">
        <x:v>0.7461604588049066</x:v>
      </x:c>
      <x:c r="M48" s="1" t="n">
        <x:v>74.61604588049066</x:v>
      </x:c>
      <x:c r="N48" s="1" t="n">
        <x:v>184651923</x:v>
      </x:c>
      <x:c r="O48" s="1" t="n">
        <x:v>0</x:v>
      </x:c>
      <x:c r="P48" s="1" t="n">
        <x:v>0</x:v>
      </x:c>
      <x:c r="Q48" s="1" t="str">
        <x:v>bb_pending_bounds_v1</x:v>
      </x:c>
      <x:c r="R48" s="1" t="str">
        <x:v>search_after_cache_before_cleanup_v1</x:v>
      </x:c>
      <x:c r="S48" s="1" t="str">
        <x:v>D:\C++\Branch&amp;Bound_charge\GeneratedResults\21part_TF=0.6_RDD=0.3.txt</x:v>
      </x:c>
      <x:c r="T48" s="1" t="str">
        <x:v>Journal article/BB_Basic/21part_TF=0.6_RDD=0.3_log_1.txt</x:v>
      </x:c>
    </x:row>
    <x:row r="49" ht="23" customHeight="1">
      <x:c r="A49" s="1" t="str">
        <x:v>21part_TF=0.6_RDD=0.6</x:v>
      </x:c>
      <x:c r="B49" s="1" t="n">
        <x:v>21</x:v>
      </x:c>
      <x:c r="C49" s="1" t="n">
        <x:v>0</x:v>
      </x:c>
      <x:c r="D49" s="1" t="n">
        <x:v>0.2</x:v>
      </x:c>
      <x:c r="E49" s="1" t="str">
        <x:v>TIME_LIMIT</x:v>
      </x:c>
      <x:c r="F49" s="1" t="n">
        <x:v>3600</x:v>
      </x:c>
      <x:c r="G49" s="1"/>
      <x:c r="H49" s="1" t="n">
        <x:v>3600.0000816</x:v>
      </x:c>
      <x:c r="I49" s="1" t="n">
        <x:v>5763.3232864</x:v>
      </x:c>
      <x:c r="J49" s="1" t="n">
        <x:v>269.3835487999999</x:v>
      </x:c>
      <x:c r="K49" s="1" t="n">
        <x:v>50.88353119999999</x:v>
      </x:c>
      <x:c r="L49" s="1" t="n">
        <x:v>0.8111112151181222</x:v>
      </x:c>
      <x:c r="M49" s="1" t="n">
        <x:v>81.11112151181223</x:v>
      </x:c>
      <x:c r="N49" s="1" t="n">
        <x:v>155062063</x:v>
      </x:c>
      <x:c r="O49" s="1" t="n">
        <x:v>0</x:v>
      </x:c>
      <x:c r="P49" s="1" t="n">
        <x:v>0</x:v>
      </x:c>
      <x:c r="Q49" s="1" t="str">
        <x:v>bb_pending_bounds_v1</x:v>
      </x:c>
      <x:c r="R49" s="1" t="str">
        <x:v>search_after_cache_before_cleanup_v1</x:v>
      </x:c>
      <x:c r="S49" s="1" t="str">
        <x:v>D:\C++\Branch&amp;Bound_charge\GeneratedResults\21part_TF=0.6_RDD=0.6.txt</x:v>
      </x:c>
      <x:c r="T49" s="1" t="str">
        <x:v>Journal article/BB_Basic/21part_TF=0.6_RDD=0.6_log_1.txt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</x:sheetData>
  <x:pageMargins left="0.7" right="0.7" top="0.75" bottom="0.75" header="0.3" footer="0.3"/>
  <x:tableParts count="1">
    <x:tablePart xmlns:r="http://schemas.openxmlformats.org/officeDocument/2006/relationships" r:id="R3070d7dd3ad2484e"/>
  </x:tableParts>
</x:worksheet>
</file>